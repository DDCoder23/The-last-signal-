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42" windowHeight="866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<sst xmlns="http://schemas.openxmlformats.org/spreadsheetml/2006/main" count="21" uniqueCount="20">
  <si>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date</t>
  </si>
  <si>
    <t>recettes</t>
  </si>
  <si>
    <t>dépenses</t>
  </si>
  <si>
    <t>total par jour</t>
  </si>
  <si>
    <t>total</t>
  </si>
  <si>
    <t>dispo</t>
  </si>
  <si>
    <t>pieces</t>
  </si>
  <si>
    <t>nombre</t>
  </si>
  <si>
    <t>total dispo crypto</t>
  </si>
  <si>
    <t>dispo crypto</t>
  </si>
  <si>
    <t>crypto</t>
  </si>
  <si>
    <t>gain</t>
  </si>
  <si>
    <t>perte</t>
  </si>
  <si>
    <t>objet</t>
  </si>
  <si>
    <t>prix unit</t>
  </si>
  <si>
    <t>nb</t>
  </si>
  <si>
    <t>prix</t>
  </si>
  <si>
    <t>Argent manquant</t>
  </si>
  <si>
    <t>Action</t>
  </si>
  <si>
    <t>clef USB 2To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</si>
</sst>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d/mm/yy"/>
  </numFmts>
  <fonts count="22"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2"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7A5B83B7-24FF-4380-B89D-340847A39269}">
      <tableStyleElement type="wholeTable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recettes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Sheet1!$A$2:$A$320</c:f>
              <c:numCache>
                <c:formatCode>dd/mm/yy</c:formatCode>
                <c:ptCount val="319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45765</c:v>
                </c:pt>
                <c:pt idx="5">
                  <c:v>45766</c:v>
                </c:pt>
                <c:pt idx="6">
                  <c:v>45767</c:v>
                </c:pt>
                <c:pt idx="7">
                  <c:v>45768</c:v>
                </c:pt>
                <c:pt idx="8">
                  <c:v>45769</c:v>
                </c:pt>
                <c:pt idx="9">
                  <c:v>45770</c:v>
                </c:pt>
                <c:pt idx="10">
                  <c:v>45771</c:v>
                </c:pt>
                <c:pt idx="11">
                  <c:v>45772</c:v>
                </c:pt>
                <c:pt idx="12">
                  <c:v>45773</c:v>
                </c:pt>
                <c:pt idx="13">
                  <c:v>45774</c:v>
                </c:pt>
                <c:pt idx="14">
                  <c:v>45775</c:v>
                </c:pt>
                <c:pt idx="15">
                  <c:v>45776</c:v>
                </c:pt>
                <c:pt idx="16">
                  <c:v>45777</c:v>
                </c:pt>
                <c:pt idx="17">
                  <c:v>45778</c:v>
                </c:pt>
                <c:pt idx="18">
                  <c:v>45779</c:v>
                </c:pt>
                <c:pt idx="19">
                  <c:v>45780</c:v>
                </c:pt>
                <c:pt idx="20">
                  <c:v>45781</c:v>
                </c:pt>
                <c:pt idx="21">
                  <c:v>45782</c:v>
                </c:pt>
                <c:pt idx="22">
                  <c:v>45783</c:v>
                </c:pt>
                <c:pt idx="23">
                  <c:v>45784</c:v>
                </c:pt>
                <c:pt idx="24">
                  <c:v>45785</c:v>
                </c:pt>
                <c:pt idx="25">
                  <c:v>45786</c:v>
                </c:pt>
                <c:pt idx="26">
                  <c:v>45787</c:v>
                </c:pt>
                <c:pt idx="27">
                  <c:v>45788</c:v>
                </c:pt>
                <c:pt idx="28">
                  <c:v>45789</c:v>
                </c:pt>
                <c:pt idx="29">
                  <c:v>45790</c:v>
                </c:pt>
                <c:pt idx="30">
                  <c:v>45791</c:v>
                </c:pt>
                <c:pt idx="31">
                  <c:v>45792</c:v>
                </c:pt>
                <c:pt idx="32">
                  <c:v>45793</c:v>
                </c:pt>
                <c:pt idx="33">
                  <c:v>45794</c:v>
                </c:pt>
                <c:pt idx="34">
                  <c:v>45795</c:v>
                </c:pt>
                <c:pt idx="35">
                  <c:v>45796</c:v>
                </c:pt>
                <c:pt idx="36">
                  <c:v>45797</c:v>
                </c:pt>
                <c:pt idx="37">
                  <c:v>45798</c:v>
                </c:pt>
                <c:pt idx="38">
                  <c:v>45799</c:v>
                </c:pt>
                <c:pt idx="39">
                  <c:v>45800</c:v>
                </c:pt>
                <c:pt idx="40">
                  <c:v>45801</c:v>
                </c:pt>
                <c:pt idx="41">
                  <c:v>45802</c:v>
                </c:pt>
                <c:pt idx="42">
                  <c:v>45803</c:v>
                </c:pt>
                <c:pt idx="43">
                  <c:v>45804</c:v>
                </c:pt>
                <c:pt idx="44">
                  <c:v>45805</c:v>
                </c:pt>
                <c:pt idx="45">
                  <c:v>45806</c:v>
                </c:pt>
                <c:pt idx="46">
                  <c:v>45807</c:v>
                </c:pt>
                <c:pt idx="47">
                  <c:v>45808</c:v>
                </c:pt>
                <c:pt idx="48">
                  <c:v>45809</c:v>
                </c:pt>
                <c:pt idx="49">
                  <c:v>45810</c:v>
                </c:pt>
                <c:pt idx="50">
                  <c:v>45811</c:v>
                </c:pt>
                <c:pt idx="51">
                  <c:v>45812</c:v>
                </c:pt>
                <c:pt idx="52">
                  <c:v>45813</c:v>
                </c:pt>
                <c:pt idx="53">
                  <c:v>45814</c:v>
                </c:pt>
                <c:pt idx="54">
                  <c:v>45815</c:v>
                </c:pt>
                <c:pt idx="55">
                  <c:v>45816</c:v>
                </c:pt>
                <c:pt idx="56">
                  <c:v>45817</c:v>
                </c:pt>
                <c:pt idx="57">
                  <c:v>45818</c:v>
                </c:pt>
                <c:pt idx="58">
                  <c:v>45819</c:v>
                </c:pt>
                <c:pt idx="59">
                  <c:v>45820</c:v>
                </c:pt>
                <c:pt idx="60">
                  <c:v>45821</c:v>
                </c:pt>
                <c:pt idx="61">
                  <c:v>45822</c:v>
                </c:pt>
                <c:pt idx="62">
                  <c:v>45823</c:v>
                </c:pt>
                <c:pt idx="63">
                  <c:v>45824</c:v>
                </c:pt>
                <c:pt idx="64">
                  <c:v>45825</c:v>
                </c:pt>
                <c:pt idx="65">
                  <c:v>45826</c:v>
                </c:pt>
                <c:pt idx="66">
                  <c:v>45827</c:v>
                </c:pt>
                <c:pt idx="67">
                  <c:v>45828</c:v>
                </c:pt>
                <c:pt idx="68">
                  <c:v>45829</c:v>
                </c:pt>
                <c:pt idx="69">
                  <c:v>45830</c:v>
                </c:pt>
                <c:pt idx="70">
                  <c:v>45831</c:v>
                </c:pt>
                <c:pt idx="71">
                  <c:v>45832</c:v>
                </c:pt>
                <c:pt idx="72">
                  <c:v>45833</c:v>
                </c:pt>
                <c:pt idx="73">
                  <c:v>45834</c:v>
                </c:pt>
                <c:pt idx="74">
                  <c:v>45835</c:v>
                </c:pt>
                <c:pt idx="75">
                  <c:v>45836</c:v>
                </c:pt>
                <c:pt idx="76">
                  <c:v>45837</c:v>
                </c:pt>
                <c:pt idx="77">
                  <c:v>45838</c:v>
                </c:pt>
                <c:pt idx="78">
                  <c:v>45839</c:v>
                </c:pt>
                <c:pt idx="79">
                  <c:v>45840</c:v>
                </c:pt>
                <c:pt idx="80">
                  <c:v>45841</c:v>
                </c:pt>
                <c:pt idx="81">
                  <c:v>45842</c:v>
                </c:pt>
                <c:pt idx="82">
                  <c:v>45843</c:v>
                </c:pt>
                <c:pt idx="83">
                  <c:v>45844</c:v>
                </c:pt>
                <c:pt idx="84">
                  <c:v>45845</c:v>
                </c:pt>
                <c:pt idx="85">
                  <c:v>45846</c:v>
                </c:pt>
                <c:pt idx="86">
                  <c:v>45847</c:v>
                </c:pt>
                <c:pt idx="87">
                  <c:v>45848</c:v>
                </c:pt>
                <c:pt idx="88">
                  <c:v>45849</c:v>
                </c:pt>
                <c:pt idx="89">
                  <c:v>45850</c:v>
                </c:pt>
                <c:pt idx="90">
                  <c:v>45851</c:v>
                </c:pt>
                <c:pt idx="91">
                  <c:v>45852</c:v>
                </c:pt>
                <c:pt idx="92">
                  <c:v>45853</c:v>
                </c:pt>
                <c:pt idx="93">
                  <c:v>45854</c:v>
                </c:pt>
                <c:pt idx="94">
                  <c:v>45855</c:v>
                </c:pt>
                <c:pt idx="95">
                  <c:v>45856</c:v>
                </c:pt>
                <c:pt idx="96">
                  <c:v>45857</c:v>
                </c:pt>
                <c:pt idx="97">
                  <c:v>45858</c:v>
                </c:pt>
                <c:pt idx="98">
                  <c:v>45859</c:v>
                </c:pt>
                <c:pt idx="99">
                  <c:v>45860</c:v>
                </c:pt>
                <c:pt idx="100">
                  <c:v>45861</c:v>
                </c:pt>
                <c:pt idx="101">
                  <c:v>45862</c:v>
                </c:pt>
                <c:pt idx="102">
                  <c:v>45863</c:v>
                </c:pt>
                <c:pt idx="103">
                  <c:v>45864</c:v>
                </c:pt>
                <c:pt idx="104">
                  <c:v>45865</c:v>
                </c:pt>
                <c:pt idx="105">
                  <c:v>45866</c:v>
                </c:pt>
                <c:pt idx="106">
                  <c:v>45867</c:v>
                </c:pt>
                <c:pt idx="107">
                  <c:v>45868</c:v>
                </c:pt>
                <c:pt idx="108">
                  <c:v>45869</c:v>
                </c:pt>
                <c:pt idx="109">
                  <c:v>45870</c:v>
                </c:pt>
                <c:pt idx="110">
                  <c:v>45871</c:v>
                </c:pt>
                <c:pt idx="111">
                  <c:v>45872</c:v>
                </c:pt>
                <c:pt idx="112">
                  <c:v>45873</c:v>
                </c:pt>
                <c:pt idx="113">
                  <c:v>45874</c:v>
                </c:pt>
                <c:pt idx="114">
                  <c:v>45875</c:v>
                </c:pt>
                <c:pt idx="115">
                  <c:v>45876</c:v>
                </c:pt>
                <c:pt idx="116">
                  <c:v>45877</c:v>
                </c:pt>
                <c:pt idx="117">
                  <c:v>45878</c:v>
                </c:pt>
                <c:pt idx="118">
                  <c:v>45879</c:v>
                </c:pt>
                <c:pt idx="119">
                  <c:v>45880</c:v>
                </c:pt>
                <c:pt idx="120">
                  <c:v>45881</c:v>
                </c:pt>
                <c:pt idx="121">
                  <c:v>45882</c:v>
                </c:pt>
                <c:pt idx="122">
                  <c:v>45883</c:v>
                </c:pt>
                <c:pt idx="123">
                  <c:v>45884</c:v>
                </c:pt>
                <c:pt idx="124">
                  <c:v>45885</c:v>
                </c:pt>
                <c:pt idx="125">
                  <c:v>45886</c:v>
                </c:pt>
                <c:pt idx="126">
                  <c:v>45887</c:v>
                </c:pt>
                <c:pt idx="127">
                  <c:v>45888</c:v>
                </c:pt>
                <c:pt idx="128">
                  <c:v>45889</c:v>
                </c:pt>
                <c:pt idx="129">
                  <c:v>45890</c:v>
                </c:pt>
                <c:pt idx="130">
                  <c:v>45891</c:v>
                </c:pt>
                <c:pt idx="131">
                  <c:v>45892</c:v>
                </c:pt>
                <c:pt idx="132">
                  <c:v>45893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45899</c:v>
                </c:pt>
                <c:pt idx="139">
                  <c:v>45900</c:v>
                </c:pt>
                <c:pt idx="140">
                  <c:v>45901</c:v>
                </c:pt>
                <c:pt idx="141">
                  <c:v>45902</c:v>
                </c:pt>
                <c:pt idx="142">
                  <c:v>45903</c:v>
                </c:pt>
                <c:pt idx="143">
                  <c:v>45904</c:v>
                </c:pt>
                <c:pt idx="144">
                  <c:v>45905</c:v>
                </c:pt>
                <c:pt idx="145">
                  <c:v>45906</c:v>
                </c:pt>
                <c:pt idx="146">
                  <c:v>45907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45913</c:v>
                </c:pt>
                <c:pt idx="153">
                  <c:v>45914</c:v>
                </c:pt>
                <c:pt idx="154">
                  <c:v>45915</c:v>
                </c:pt>
                <c:pt idx="155">
                  <c:v>45916</c:v>
                </c:pt>
                <c:pt idx="156">
                  <c:v>45917</c:v>
                </c:pt>
                <c:pt idx="157">
                  <c:v>45918</c:v>
                </c:pt>
                <c:pt idx="158">
                  <c:v>45919</c:v>
                </c:pt>
                <c:pt idx="159">
                  <c:v>45920</c:v>
                </c:pt>
                <c:pt idx="160">
                  <c:v>45921</c:v>
                </c:pt>
                <c:pt idx="161">
                  <c:v>45922</c:v>
                </c:pt>
                <c:pt idx="162">
                  <c:v>45923</c:v>
                </c:pt>
                <c:pt idx="163">
                  <c:v>45924</c:v>
                </c:pt>
                <c:pt idx="164">
                  <c:v>45925</c:v>
                </c:pt>
                <c:pt idx="165">
                  <c:v>45926</c:v>
                </c:pt>
                <c:pt idx="166">
                  <c:v>45927</c:v>
                </c:pt>
                <c:pt idx="167">
                  <c:v>45928</c:v>
                </c:pt>
                <c:pt idx="168">
                  <c:v>45929</c:v>
                </c:pt>
                <c:pt idx="169">
                  <c:v>45930</c:v>
                </c:pt>
                <c:pt idx="170">
                  <c:v>45931</c:v>
                </c:pt>
                <c:pt idx="171">
                  <c:v>45932</c:v>
                </c:pt>
                <c:pt idx="172">
                  <c:v>45933</c:v>
                </c:pt>
                <c:pt idx="173">
                  <c:v>45934</c:v>
                </c:pt>
                <c:pt idx="174">
                  <c:v>45935</c:v>
                </c:pt>
                <c:pt idx="175">
                  <c:v>45936</c:v>
                </c:pt>
                <c:pt idx="176">
                  <c:v>45937</c:v>
                </c:pt>
                <c:pt idx="177">
                  <c:v>45938</c:v>
                </c:pt>
                <c:pt idx="178">
                  <c:v>45939</c:v>
                </c:pt>
                <c:pt idx="179">
                  <c:v>45940</c:v>
                </c:pt>
                <c:pt idx="180">
                  <c:v>45941</c:v>
                </c:pt>
                <c:pt idx="181">
                  <c:v>45942</c:v>
                </c:pt>
                <c:pt idx="182">
                  <c:v>45943</c:v>
                </c:pt>
                <c:pt idx="183">
                  <c:v>45944</c:v>
                </c:pt>
                <c:pt idx="184">
                  <c:v>45945</c:v>
                </c:pt>
                <c:pt idx="185">
                  <c:v>45946</c:v>
                </c:pt>
                <c:pt idx="186">
                  <c:v>45947</c:v>
                </c:pt>
                <c:pt idx="187">
                  <c:v>45948</c:v>
                </c:pt>
                <c:pt idx="188">
                  <c:v>45949</c:v>
                </c:pt>
                <c:pt idx="189">
                  <c:v>45950</c:v>
                </c:pt>
                <c:pt idx="190">
                  <c:v>45951</c:v>
                </c:pt>
                <c:pt idx="191">
                  <c:v>45952</c:v>
                </c:pt>
                <c:pt idx="192">
                  <c:v>45953</c:v>
                </c:pt>
                <c:pt idx="193">
                  <c:v>45954</c:v>
                </c:pt>
                <c:pt idx="194">
                  <c:v>45955</c:v>
                </c:pt>
                <c:pt idx="195">
                  <c:v>45956</c:v>
                </c:pt>
                <c:pt idx="196">
                  <c:v>45957</c:v>
                </c:pt>
                <c:pt idx="197">
                  <c:v>45958</c:v>
                </c:pt>
                <c:pt idx="198">
                  <c:v>45959</c:v>
                </c:pt>
                <c:pt idx="199">
                  <c:v>45960</c:v>
                </c:pt>
                <c:pt idx="200">
                  <c:v>45961</c:v>
                </c:pt>
                <c:pt idx="201">
                  <c:v>45962</c:v>
                </c:pt>
                <c:pt idx="202">
                  <c:v>45963</c:v>
                </c:pt>
                <c:pt idx="203">
                  <c:v>45964</c:v>
                </c:pt>
                <c:pt idx="204">
                  <c:v>45965</c:v>
                </c:pt>
                <c:pt idx="205">
                  <c:v>45966</c:v>
                </c:pt>
                <c:pt idx="206">
                  <c:v>45967</c:v>
                </c:pt>
                <c:pt idx="207">
                  <c:v>45968</c:v>
                </c:pt>
                <c:pt idx="208">
                  <c:v>45969</c:v>
                </c:pt>
                <c:pt idx="209">
                  <c:v>45970</c:v>
                </c:pt>
                <c:pt idx="210">
                  <c:v>45971</c:v>
                </c:pt>
                <c:pt idx="211">
                  <c:v>45972</c:v>
                </c:pt>
                <c:pt idx="212">
                  <c:v>45973</c:v>
                </c:pt>
                <c:pt idx="213">
                  <c:v>45974</c:v>
                </c:pt>
                <c:pt idx="214">
                  <c:v>45975</c:v>
                </c:pt>
                <c:pt idx="215">
                  <c:v>45976</c:v>
                </c:pt>
                <c:pt idx="216">
                  <c:v>45977</c:v>
                </c:pt>
                <c:pt idx="217">
                  <c:v>45978</c:v>
                </c:pt>
                <c:pt idx="218">
                  <c:v>45979</c:v>
                </c:pt>
                <c:pt idx="219">
                  <c:v>45980</c:v>
                </c:pt>
                <c:pt idx="220">
                  <c:v>45981</c:v>
                </c:pt>
                <c:pt idx="221">
                  <c:v>45982</c:v>
                </c:pt>
                <c:pt idx="222">
                  <c:v>45983</c:v>
                </c:pt>
                <c:pt idx="223">
                  <c:v>45984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45988</c:v>
                </c:pt>
                <c:pt idx="228">
                  <c:v>45989</c:v>
                </c:pt>
                <c:pt idx="229">
                  <c:v>45990</c:v>
                </c:pt>
                <c:pt idx="230">
                  <c:v>45991</c:v>
                </c:pt>
                <c:pt idx="231">
                  <c:v>45992</c:v>
                </c:pt>
                <c:pt idx="232">
                  <c:v>45993</c:v>
                </c:pt>
                <c:pt idx="233">
                  <c:v>45994</c:v>
                </c:pt>
                <c:pt idx="234">
                  <c:v>45995</c:v>
                </c:pt>
                <c:pt idx="235">
                  <c:v>45996</c:v>
                </c:pt>
                <c:pt idx="236">
                  <c:v>45997</c:v>
                </c:pt>
                <c:pt idx="237">
                  <c:v>45998</c:v>
                </c:pt>
                <c:pt idx="238">
                  <c:v>45999</c:v>
                </c:pt>
                <c:pt idx="239">
                  <c:v>46000</c:v>
                </c:pt>
                <c:pt idx="240">
                  <c:v>46001</c:v>
                </c:pt>
                <c:pt idx="241">
                  <c:v>46002</c:v>
                </c:pt>
                <c:pt idx="242">
                  <c:v>46003</c:v>
                </c:pt>
                <c:pt idx="243">
                  <c:v>46004</c:v>
                </c:pt>
                <c:pt idx="244">
                  <c:v>46005</c:v>
                </c:pt>
                <c:pt idx="245">
                  <c:v>46006</c:v>
                </c:pt>
                <c:pt idx="246">
                  <c:v>46007</c:v>
                </c:pt>
                <c:pt idx="247">
                  <c:v>46008</c:v>
                </c:pt>
                <c:pt idx="248">
                  <c:v>46009</c:v>
                </c:pt>
                <c:pt idx="249">
                  <c:v>46010</c:v>
                </c:pt>
                <c:pt idx="250">
                  <c:v>46011</c:v>
                </c:pt>
                <c:pt idx="251">
                  <c:v>46012</c:v>
                </c:pt>
                <c:pt idx="252">
                  <c:v>46013</c:v>
                </c:pt>
                <c:pt idx="253">
                  <c:v>46014</c:v>
                </c:pt>
                <c:pt idx="254">
                  <c:v>46015</c:v>
                </c:pt>
                <c:pt idx="255">
                  <c:v>46016</c:v>
                </c:pt>
                <c:pt idx="256">
                  <c:v>46017</c:v>
                </c:pt>
                <c:pt idx="257">
                  <c:v>46018</c:v>
                </c:pt>
                <c:pt idx="258">
                  <c:v>46019</c:v>
                </c:pt>
                <c:pt idx="259">
                  <c:v>46020</c:v>
                </c:pt>
                <c:pt idx="260">
                  <c:v>46021</c:v>
                </c:pt>
                <c:pt idx="261">
                  <c:v>46022</c:v>
                </c:pt>
                <c:pt idx="262">
                  <c:v>46023</c:v>
                </c:pt>
                <c:pt idx="263">
                  <c:v>46024</c:v>
                </c:pt>
                <c:pt idx="264">
                  <c:v>46025</c:v>
                </c:pt>
                <c:pt idx="265">
                  <c:v>46026</c:v>
                </c:pt>
                <c:pt idx="266">
                  <c:v>46027</c:v>
                </c:pt>
                <c:pt idx="267">
                  <c:v>46028</c:v>
                </c:pt>
                <c:pt idx="268">
                  <c:v>46029</c:v>
                </c:pt>
                <c:pt idx="269">
                  <c:v>46030</c:v>
                </c:pt>
                <c:pt idx="270">
                  <c:v>46031</c:v>
                </c:pt>
                <c:pt idx="271">
                  <c:v>46032</c:v>
                </c:pt>
                <c:pt idx="272">
                  <c:v>46033</c:v>
                </c:pt>
                <c:pt idx="273">
                  <c:v>46034</c:v>
                </c:pt>
                <c:pt idx="274">
                  <c:v>46035</c:v>
                </c:pt>
                <c:pt idx="275">
                  <c:v>46036</c:v>
                </c:pt>
                <c:pt idx="276">
                  <c:v>46037</c:v>
                </c:pt>
                <c:pt idx="277">
                  <c:v>46038</c:v>
                </c:pt>
                <c:pt idx="278">
                  <c:v>46039</c:v>
                </c:pt>
                <c:pt idx="279">
                  <c:v>46040</c:v>
                </c:pt>
                <c:pt idx="280">
                  <c:v>46041</c:v>
                </c:pt>
                <c:pt idx="281">
                  <c:v>46042</c:v>
                </c:pt>
                <c:pt idx="282">
                  <c:v>46043</c:v>
                </c:pt>
                <c:pt idx="283">
                  <c:v>46044</c:v>
                </c:pt>
                <c:pt idx="284">
                  <c:v>46045</c:v>
                </c:pt>
                <c:pt idx="285">
                  <c:v>46046</c:v>
                </c:pt>
                <c:pt idx="286">
                  <c:v>46047</c:v>
                </c:pt>
                <c:pt idx="287">
                  <c:v>46048</c:v>
                </c:pt>
                <c:pt idx="288">
                  <c:v>46049</c:v>
                </c:pt>
                <c:pt idx="289">
                  <c:v>46050</c:v>
                </c:pt>
                <c:pt idx="290">
                  <c:v>46051</c:v>
                </c:pt>
                <c:pt idx="291">
                  <c:v>46052</c:v>
                </c:pt>
                <c:pt idx="292">
                  <c:v>46053</c:v>
                </c:pt>
                <c:pt idx="293">
                  <c:v>46054</c:v>
                </c:pt>
                <c:pt idx="294">
                  <c:v>46055</c:v>
                </c:pt>
                <c:pt idx="295">
                  <c:v>46056</c:v>
                </c:pt>
                <c:pt idx="296">
                  <c:v>46057</c:v>
                </c:pt>
                <c:pt idx="297">
                  <c:v>46058</c:v>
                </c:pt>
                <c:pt idx="298">
                  <c:v>46059</c:v>
                </c:pt>
                <c:pt idx="299">
                  <c:v>46060</c:v>
                </c:pt>
                <c:pt idx="300">
                  <c:v>46061</c:v>
                </c:pt>
                <c:pt idx="301">
                  <c:v>46062</c:v>
                </c:pt>
                <c:pt idx="302">
                  <c:v>46063</c:v>
                </c:pt>
                <c:pt idx="303">
                  <c:v>46064</c:v>
                </c:pt>
                <c:pt idx="304">
                  <c:v>46065</c:v>
                </c:pt>
                <c:pt idx="305">
                  <c:v>46066</c:v>
                </c:pt>
                <c:pt idx="306">
                  <c:v>46067</c:v>
                </c:pt>
                <c:pt idx="307">
                  <c:v>46068</c:v>
                </c:pt>
                <c:pt idx="308">
                  <c:v>46069</c:v>
                </c:pt>
                <c:pt idx="309">
                  <c:v>46070</c:v>
                </c:pt>
                <c:pt idx="310">
                  <c:v>46071</c:v>
                </c:pt>
                <c:pt idx="311">
                  <c:v>46072</c:v>
                </c:pt>
                <c:pt idx="312">
                  <c:v>46073</c:v>
                </c:pt>
                <c:pt idx="313">
                  <c:v>46074</c:v>
                </c:pt>
                <c:pt idx="314">
                  <c:v>46075</c:v>
                </c:pt>
                <c:pt idx="315">
                  <c:v>46076</c:v>
                </c:pt>
                <c:pt idx="316">
                  <c:v>46077</c:v>
                </c:pt>
                <c:pt idx="317">
                  <c:v>46078</c:v>
                </c:pt>
                <c:pt idx="318">
                  <c:v>46079</c:v>
                </c:pt>
              </c:numCache>
            </c:numRef>
          </c:xVal>
          <c:yVal>
            <c:numRef>
              <c:f>Sheet1!$B$2:$B$320</c:f>
              <c:numCache>
                <c:formatCode>General</c:formatCode>
                <c:ptCount val="319"/>
                <c:pt idx="0">
                  <c:v>1.75</c:v>
                </c:pt>
                <c:pt idx="1">
                  <c:v>0.5</c:v>
                </c:pt>
                <c:pt idx="2">
                  <c:v>5.68</c:v>
                </c:pt>
                <c:pt idx="3">
                  <c:v>0.1</c:v>
                </c:pt>
                <c:pt idx="16">
                  <c:v>0.05</c:v>
                </c:pt>
                <c:pt idx="22">
                  <c:v>0.01</c:v>
                </c:pt>
                <c:pt idx="23">
                  <c:v>0.2</c:v>
                </c:pt>
                <c:pt idx="27">
                  <c:v>0.02</c:v>
                </c:pt>
                <c:pt idx="28">
                  <c:v>0.6</c:v>
                </c:pt>
                <c:pt idx="32">
                  <c:v>0.01</c:v>
                </c:pt>
                <c:pt idx="38">
                  <c:v>1.26</c:v>
                </c:pt>
                <c:pt idx="39">
                  <c:v>4</c:v>
                </c:pt>
                <c:pt idx="121">
                  <c:v>0.5</c:v>
                </c:pt>
                <c:pt idx="122">
                  <c:v>0.01</c:v>
                </c:pt>
                <c:pt idx="123">
                  <c:v>0.01</c:v>
                </c:pt>
                <c:pt idx="296">
                  <c:v>0.5</c:v>
                </c:pt>
                <c:pt idx="300">
                  <c:v>0.05</c:v>
                </c:pt>
                <c:pt idx="315">
                  <c:v>0.1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2064"/>
        <c:axId val="145176064"/>
      </c:scatterChart>
      <c:valAx>
        <c:axId val="1037520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date</a:t>
                </a:r>
                <a:endParaRPr lang="fr-F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dd/mm/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5176064"/>
        <c:crosses val="autoZero"/>
        <c:crossBetween val="midCat"/>
      </c:valAx>
      <c:valAx>
        <c:axId val="1451760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cross"/>
        <c:minorTickMark val="cross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37520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ff55b7-19ac-4eab-8272-1bea0f5ba8b6}"/>
      </c:ext>
    </c:extLst>
  </c:chart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ja-JP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recettes, dépenses and total par jour</a:t>
            </a:r>
            <a:endParaRPr lang="fr-F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dépenses</c:v>
                </c:pt>
              </c:strCache>
            </c:strRef>
          </c:tx>
          <c:spPr>
            <a:ln w="19050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Sheet1!$A$2:$A$320</c:f>
              <c:numCache>
                <c:formatCode>dd/mm/yy</c:formatCode>
                <c:ptCount val="319"/>
                <c:pt idx="0" c:formatCode="dd/mm/yy">
                  <c:v>45761</c:v>
                </c:pt>
                <c:pt idx="1" c:formatCode="dd/mm/yy">
                  <c:v>45762</c:v>
                </c:pt>
                <c:pt idx="2" c:formatCode="dd/mm/yy">
                  <c:v>45763</c:v>
                </c:pt>
                <c:pt idx="3" c:formatCode="dd/mm/yy">
                  <c:v>45764</c:v>
                </c:pt>
                <c:pt idx="4" c:formatCode="dd/mm/yy">
                  <c:v>45765</c:v>
                </c:pt>
                <c:pt idx="5" c:formatCode="dd/mm/yy">
                  <c:v>45766</c:v>
                </c:pt>
                <c:pt idx="6" c:formatCode="dd/mm/yy">
                  <c:v>45767</c:v>
                </c:pt>
                <c:pt idx="7" c:formatCode="dd/mm/yy">
                  <c:v>45768</c:v>
                </c:pt>
                <c:pt idx="8" c:formatCode="dd/mm/yy">
                  <c:v>45769</c:v>
                </c:pt>
                <c:pt idx="9" c:formatCode="dd/mm/yy">
                  <c:v>45770</c:v>
                </c:pt>
                <c:pt idx="10" c:formatCode="dd/mm/yy">
                  <c:v>45771</c:v>
                </c:pt>
                <c:pt idx="11" c:formatCode="dd/mm/yy">
                  <c:v>45772</c:v>
                </c:pt>
                <c:pt idx="12" c:formatCode="dd/mm/yy">
                  <c:v>45773</c:v>
                </c:pt>
                <c:pt idx="13" c:formatCode="dd/mm/yy">
                  <c:v>45774</c:v>
                </c:pt>
                <c:pt idx="14" c:formatCode="dd/mm/yy">
                  <c:v>45775</c:v>
                </c:pt>
                <c:pt idx="15" c:formatCode="dd/mm/yy">
                  <c:v>45776</c:v>
                </c:pt>
                <c:pt idx="16" c:formatCode="dd/mm/yy">
                  <c:v>45777</c:v>
                </c:pt>
                <c:pt idx="17" c:formatCode="dd/mm/yy">
                  <c:v>45778</c:v>
                </c:pt>
                <c:pt idx="18" c:formatCode="dd/mm/yy">
                  <c:v>45779</c:v>
                </c:pt>
                <c:pt idx="19" c:formatCode="dd/mm/yy">
                  <c:v>45780</c:v>
                </c:pt>
                <c:pt idx="20" c:formatCode="dd/mm/yy">
                  <c:v>45781</c:v>
                </c:pt>
                <c:pt idx="21" c:formatCode="dd/mm/yy">
                  <c:v>45782</c:v>
                </c:pt>
                <c:pt idx="22" c:formatCode="dd/mm/yy">
                  <c:v>45783</c:v>
                </c:pt>
                <c:pt idx="23" c:formatCode="dd/mm/yy">
                  <c:v>45784</c:v>
                </c:pt>
                <c:pt idx="24" c:formatCode="dd/mm/yy">
                  <c:v>45785</c:v>
                </c:pt>
                <c:pt idx="25" c:formatCode="dd/mm/yy">
                  <c:v>45786</c:v>
                </c:pt>
                <c:pt idx="26" c:formatCode="dd/mm/yy">
                  <c:v>45787</c:v>
                </c:pt>
                <c:pt idx="27" c:formatCode="dd/mm/yy">
                  <c:v>45788</c:v>
                </c:pt>
                <c:pt idx="28" c:formatCode="dd/mm/yy">
                  <c:v>45789</c:v>
                </c:pt>
                <c:pt idx="29" c:formatCode="dd/mm/yy">
                  <c:v>45790</c:v>
                </c:pt>
                <c:pt idx="30" c:formatCode="dd/mm/yy">
                  <c:v>45791</c:v>
                </c:pt>
                <c:pt idx="31" c:formatCode="dd/mm/yy">
                  <c:v>45792</c:v>
                </c:pt>
                <c:pt idx="32" c:formatCode="dd/mm/yy">
                  <c:v>45793</c:v>
                </c:pt>
                <c:pt idx="33" c:formatCode="dd/mm/yy">
                  <c:v>45794</c:v>
                </c:pt>
                <c:pt idx="34" c:formatCode="dd/mm/yy">
                  <c:v>45795</c:v>
                </c:pt>
                <c:pt idx="35" c:formatCode="dd/mm/yy">
                  <c:v>45796</c:v>
                </c:pt>
                <c:pt idx="36" c:formatCode="dd/mm/yy">
                  <c:v>45797</c:v>
                </c:pt>
                <c:pt idx="37" c:formatCode="dd/mm/yy">
                  <c:v>45798</c:v>
                </c:pt>
                <c:pt idx="38" c:formatCode="dd/mm/yy">
                  <c:v>45799</c:v>
                </c:pt>
                <c:pt idx="39" c:formatCode="dd/mm/yy">
                  <c:v>45800</c:v>
                </c:pt>
                <c:pt idx="40" c:formatCode="dd/mm/yy">
                  <c:v>45801</c:v>
                </c:pt>
                <c:pt idx="41" c:formatCode="dd/mm/yy">
                  <c:v>45802</c:v>
                </c:pt>
                <c:pt idx="42" c:formatCode="dd/mm/yy">
                  <c:v>45803</c:v>
                </c:pt>
                <c:pt idx="43" c:formatCode="dd/mm/yy">
                  <c:v>45804</c:v>
                </c:pt>
                <c:pt idx="44" c:formatCode="dd/mm/yy">
                  <c:v>45805</c:v>
                </c:pt>
                <c:pt idx="45" c:formatCode="dd/mm/yy">
                  <c:v>45806</c:v>
                </c:pt>
                <c:pt idx="46" c:formatCode="dd/mm/yy">
                  <c:v>45807</c:v>
                </c:pt>
                <c:pt idx="47" c:formatCode="dd/mm/yy">
                  <c:v>45808</c:v>
                </c:pt>
                <c:pt idx="48" c:formatCode="dd/mm/yy">
                  <c:v>45809</c:v>
                </c:pt>
                <c:pt idx="49" c:formatCode="dd/mm/yy">
                  <c:v>45810</c:v>
                </c:pt>
                <c:pt idx="50" c:formatCode="dd/mm/yy">
                  <c:v>45811</c:v>
                </c:pt>
                <c:pt idx="51" c:formatCode="dd/mm/yy">
                  <c:v>45812</c:v>
                </c:pt>
                <c:pt idx="52" c:formatCode="dd/mm/yy">
                  <c:v>45813</c:v>
                </c:pt>
                <c:pt idx="53" c:formatCode="dd/mm/yy">
                  <c:v>45814</c:v>
                </c:pt>
                <c:pt idx="54" c:formatCode="dd/mm/yy">
                  <c:v>45815</c:v>
                </c:pt>
                <c:pt idx="55" c:formatCode="dd/mm/yy">
                  <c:v>45816</c:v>
                </c:pt>
                <c:pt idx="56" c:formatCode="dd/mm/yy">
                  <c:v>45817</c:v>
                </c:pt>
                <c:pt idx="57" c:formatCode="dd/mm/yy">
                  <c:v>45818</c:v>
                </c:pt>
                <c:pt idx="58" c:formatCode="dd/mm/yy">
                  <c:v>45819</c:v>
                </c:pt>
                <c:pt idx="59" c:formatCode="dd/mm/yy">
                  <c:v>45820</c:v>
                </c:pt>
                <c:pt idx="60" c:formatCode="dd/mm/yy">
                  <c:v>45821</c:v>
                </c:pt>
                <c:pt idx="61" c:formatCode="dd/mm/yy">
                  <c:v>45822</c:v>
                </c:pt>
                <c:pt idx="62" c:formatCode="dd/mm/yy">
                  <c:v>45823</c:v>
                </c:pt>
                <c:pt idx="63" c:formatCode="dd/mm/yy">
                  <c:v>45824</c:v>
                </c:pt>
                <c:pt idx="64" c:formatCode="dd/mm/yy">
                  <c:v>45825</c:v>
                </c:pt>
                <c:pt idx="65" c:formatCode="dd/mm/yy">
                  <c:v>45826</c:v>
                </c:pt>
                <c:pt idx="66" c:formatCode="dd/mm/yy">
                  <c:v>45827</c:v>
                </c:pt>
                <c:pt idx="67" c:formatCode="dd/mm/yy">
                  <c:v>45828</c:v>
                </c:pt>
                <c:pt idx="68" c:formatCode="dd/mm/yy">
                  <c:v>45829</c:v>
                </c:pt>
                <c:pt idx="69" c:formatCode="dd/mm/yy">
                  <c:v>45830</c:v>
                </c:pt>
                <c:pt idx="70" c:formatCode="dd/mm/yy">
                  <c:v>45831</c:v>
                </c:pt>
                <c:pt idx="71" c:formatCode="dd/mm/yy">
                  <c:v>45832</c:v>
                </c:pt>
                <c:pt idx="72" c:formatCode="dd/mm/yy">
                  <c:v>45833</c:v>
                </c:pt>
                <c:pt idx="73" c:formatCode="dd/mm/yy">
                  <c:v>45834</c:v>
                </c:pt>
                <c:pt idx="74" c:formatCode="dd/mm/yy">
                  <c:v>45835</c:v>
                </c:pt>
                <c:pt idx="75" c:formatCode="dd/mm/yy">
                  <c:v>45836</c:v>
                </c:pt>
                <c:pt idx="76" c:formatCode="dd/mm/yy">
                  <c:v>45837</c:v>
                </c:pt>
                <c:pt idx="77" c:formatCode="dd/mm/yy">
                  <c:v>45838</c:v>
                </c:pt>
                <c:pt idx="78" c:formatCode="dd/mm/yy">
                  <c:v>45839</c:v>
                </c:pt>
                <c:pt idx="79" c:formatCode="dd/mm/yy">
                  <c:v>45840</c:v>
                </c:pt>
                <c:pt idx="80" c:formatCode="dd/mm/yy">
                  <c:v>45841</c:v>
                </c:pt>
                <c:pt idx="81" c:formatCode="dd/mm/yy">
                  <c:v>45842</c:v>
                </c:pt>
                <c:pt idx="82" c:formatCode="dd/mm/yy">
                  <c:v>45843</c:v>
                </c:pt>
                <c:pt idx="83" c:formatCode="dd/mm/yy">
                  <c:v>45844</c:v>
                </c:pt>
                <c:pt idx="84" c:formatCode="dd/mm/yy">
                  <c:v>45845</c:v>
                </c:pt>
                <c:pt idx="85" c:formatCode="dd/mm/yy">
                  <c:v>45846</c:v>
                </c:pt>
                <c:pt idx="86" c:formatCode="dd/mm/yy">
                  <c:v>45847</c:v>
                </c:pt>
                <c:pt idx="87" c:formatCode="dd/mm/yy">
                  <c:v>45848</c:v>
                </c:pt>
                <c:pt idx="88" c:formatCode="dd/mm/yy">
                  <c:v>45849</c:v>
                </c:pt>
                <c:pt idx="89" c:formatCode="dd/mm/yy">
                  <c:v>45850</c:v>
                </c:pt>
                <c:pt idx="90" c:formatCode="dd/mm/yy">
                  <c:v>45851</c:v>
                </c:pt>
                <c:pt idx="91" c:formatCode="dd/mm/yy">
                  <c:v>45852</c:v>
                </c:pt>
                <c:pt idx="92" c:formatCode="dd/mm/yy">
                  <c:v>45853</c:v>
                </c:pt>
                <c:pt idx="93" c:formatCode="dd/mm/yy">
                  <c:v>45854</c:v>
                </c:pt>
                <c:pt idx="94" c:formatCode="dd/mm/yy">
                  <c:v>45855</c:v>
                </c:pt>
                <c:pt idx="95" c:formatCode="dd/mm/yy">
                  <c:v>45856</c:v>
                </c:pt>
                <c:pt idx="96" c:formatCode="dd/mm/yy">
                  <c:v>45857</c:v>
                </c:pt>
                <c:pt idx="97" c:formatCode="dd/mm/yy">
                  <c:v>45858</c:v>
                </c:pt>
                <c:pt idx="98" c:formatCode="dd/mm/yy">
                  <c:v>45859</c:v>
                </c:pt>
                <c:pt idx="99" c:formatCode="dd/mm/yy">
                  <c:v>45860</c:v>
                </c:pt>
                <c:pt idx="100" c:formatCode="dd/mm/yy">
                  <c:v>45861</c:v>
                </c:pt>
                <c:pt idx="101" c:formatCode="dd/mm/yy">
                  <c:v>45862</c:v>
                </c:pt>
                <c:pt idx="102" c:formatCode="dd/mm/yy">
                  <c:v>45863</c:v>
                </c:pt>
                <c:pt idx="103" c:formatCode="dd/mm/yy">
                  <c:v>45864</c:v>
                </c:pt>
                <c:pt idx="104" c:formatCode="dd/mm/yy">
                  <c:v>45865</c:v>
                </c:pt>
                <c:pt idx="105" c:formatCode="dd/mm/yy">
                  <c:v>45866</c:v>
                </c:pt>
                <c:pt idx="106" c:formatCode="dd/mm/yy">
                  <c:v>45867</c:v>
                </c:pt>
                <c:pt idx="107" c:formatCode="dd/mm/yy">
                  <c:v>45868</c:v>
                </c:pt>
                <c:pt idx="108" c:formatCode="dd/mm/yy">
                  <c:v>45869</c:v>
                </c:pt>
                <c:pt idx="109" c:formatCode="dd/mm/yy">
                  <c:v>45870</c:v>
                </c:pt>
                <c:pt idx="110" c:formatCode="dd/mm/yy">
                  <c:v>45871</c:v>
                </c:pt>
                <c:pt idx="111" c:formatCode="dd/mm/yy">
                  <c:v>45872</c:v>
                </c:pt>
                <c:pt idx="112" c:formatCode="dd/mm/yy">
                  <c:v>45873</c:v>
                </c:pt>
                <c:pt idx="113" c:formatCode="dd/mm/yy">
                  <c:v>45874</c:v>
                </c:pt>
                <c:pt idx="114" c:formatCode="dd/mm/yy">
                  <c:v>45875</c:v>
                </c:pt>
                <c:pt idx="115" c:formatCode="dd/mm/yy">
                  <c:v>45876</c:v>
                </c:pt>
                <c:pt idx="116" c:formatCode="dd/mm/yy">
                  <c:v>45877</c:v>
                </c:pt>
                <c:pt idx="117" c:formatCode="dd/mm/yy">
                  <c:v>45878</c:v>
                </c:pt>
                <c:pt idx="118" c:formatCode="dd/mm/yy">
                  <c:v>45879</c:v>
                </c:pt>
                <c:pt idx="119" c:formatCode="dd/mm/yy">
                  <c:v>45880</c:v>
                </c:pt>
                <c:pt idx="120" c:formatCode="dd/mm/yy">
                  <c:v>45881</c:v>
                </c:pt>
                <c:pt idx="121" c:formatCode="dd/mm/yy">
                  <c:v>45882</c:v>
                </c:pt>
                <c:pt idx="122" c:formatCode="dd/mm/yy">
                  <c:v>45883</c:v>
                </c:pt>
                <c:pt idx="123" c:formatCode="dd/mm/yy">
                  <c:v>45884</c:v>
                </c:pt>
                <c:pt idx="124" c:formatCode="dd/mm/yy">
                  <c:v>45885</c:v>
                </c:pt>
                <c:pt idx="125" c:formatCode="dd/mm/yy">
                  <c:v>45886</c:v>
                </c:pt>
                <c:pt idx="126" c:formatCode="dd/mm/yy">
                  <c:v>45887</c:v>
                </c:pt>
                <c:pt idx="127" c:formatCode="dd/mm/yy">
                  <c:v>45888</c:v>
                </c:pt>
                <c:pt idx="128" c:formatCode="dd/mm/yy">
                  <c:v>45889</c:v>
                </c:pt>
                <c:pt idx="129" c:formatCode="dd/mm/yy">
                  <c:v>45890</c:v>
                </c:pt>
                <c:pt idx="130" c:formatCode="dd/mm/yy">
                  <c:v>45891</c:v>
                </c:pt>
                <c:pt idx="131" c:formatCode="dd/mm/yy">
                  <c:v>45892</c:v>
                </c:pt>
                <c:pt idx="132" c:formatCode="dd/mm/yy">
                  <c:v>45893</c:v>
                </c:pt>
                <c:pt idx="133" c:formatCode="dd/mm/yy">
                  <c:v>45894</c:v>
                </c:pt>
                <c:pt idx="134" c:formatCode="dd/mm/yy">
                  <c:v>45895</c:v>
                </c:pt>
                <c:pt idx="135" c:formatCode="dd/mm/yy">
                  <c:v>45896</c:v>
                </c:pt>
                <c:pt idx="136" c:formatCode="dd/mm/yy">
                  <c:v>45897</c:v>
                </c:pt>
                <c:pt idx="137" c:formatCode="dd/mm/yy">
                  <c:v>45898</c:v>
                </c:pt>
                <c:pt idx="138" c:formatCode="dd/mm/yy">
                  <c:v>45899</c:v>
                </c:pt>
                <c:pt idx="139" c:formatCode="dd/mm/yy">
                  <c:v>45900</c:v>
                </c:pt>
                <c:pt idx="140" c:formatCode="dd/mm/yy">
                  <c:v>45901</c:v>
                </c:pt>
                <c:pt idx="141" c:formatCode="dd/mm/yy">
                  <c:v>45902</c:v>
                </c:pt>
                <c:pt idx="142" c:formatCode="dd/mm/yy">
                  <c:v>45903</c:v>
                </c:pt>
                <c:pt idx="143" c:formatCode="dd/mm/yy">
                  <c:v>45904</c:v>
                </c:pt>
                <c:pt idx="144" c:formatCode="dd/mm/yy">
                  <c:v>45905</c:v>
                </c:pt>
                <c:pt idx="145" c:formatCode="dd/mm/yy">
                  <c:v>45906</c:v>
                </c:pt>
                <c:pt idx="146" c:formatCode="dd/mm/yy">
                  <c:v>45907</c:v>
                </c:pt>
                <c:pt idx="147" c:formatCode="dd/mm/yy">
                  <c:v>45908</c:v>
                </c:pt>
                <c:pt idx="148" c:formatCode="dd/mm/yy">
                  <c:v>45909</c:v>
                </c:pt>
                <c:pt idx="149" c:formatCode="dd/mm/yy">
                  <c:v>45910</c:v>
                </c:pt>
                <c:pt idx="150" c:formatCode="dd/mm/yy">
                  <c:v>45911</c:v>
                </c:pt>
                <c:pt idx="151" c:formatCode="dd/mm/yy">
                  <c:v>45912</c:v>
                </c:pt>
                <c:pt idx="152" c:formatCode="dd/mm/yy">
                  <c:v>45913</c:v>
                </c:pt>
                <c:pt idx="153" c:formatCode="dd/mm/yy">
                  <c:v>45914</c:v>
                </c:pt>
                <c:pt idx="154" c:formatCode="dd/mm/yy">
                  <c:v>45915</c:v>
                </c:pt>
                <c:pt idx="155" c:formatCode="dd/mm/yy">
                  <c:v>45916</c:v>
                </c:pt>
                <c:pt idx="156" c:formatCode="dd/mm/yy">
                  <c:v>45917</c:v>
                </c:pt>
                <c:pt idx="157" c:formatCode="dd/mm/yy">
                  <c:v>45918</c:v>
                </c:pt>
                <c:pt idx="158" c:formatCode="dd/mm/yy">
                  <c:v>45919</c:v>
                </c:pt>
                <c:pt idx="159" c:formatCode="dd/mm/yy">
                  <c:v>45920</c:v>
                </c:pt>
                <c:pt idx="160" c:formatCode="dd/mm/yy">
                  <c:v>45921</c:v>
                </c:pt>
                <c:pt idx="161" c:formatCode="dd/mm/yy">
                  <c:v>45922</c:v>
                </c:pt>
                <c:pt idx="162" c:formatCode="dd/mm/yy">
                  <c:v>45923</c:v>
                </c:pt>
                <c:pt idx="163" c:formatCode="dd/mm/yy">
                  <c:v>45924</c:v>
                </c:pt>
                <c:pt idx="164" c:formatCode="dd/mm/yy">
                  <c:v>45925</c:v>
                </c:pt>
                <c:pt idx="165" c:formatCode="dd/mm/yy">
                  <c:v>45926</c:v>
                </c:pt>
                <c:pt idx="166" c:formatCode="dd/mm/yy">
                  <c:v>45927</c:v>
                </c:pt>
                <c:pt idx="167" c:formatCode="dd/mm/yy">
                  <c:v>45928</c:v>
                </c:pt>
                <c:pt idx="168" c:formatCode="dd/mm/yy">
                  <c:v>45929</c:v>
                </c:pt>
                <c:pt idx="169" c:formatCode="dd/mm/yy">
                  <c:v>45930</c:v>
                </c:pt>
                <c:pt idx="170" c:formatCode="dd/mm/yy">
                  <c:v>45931</c:v>
                </c:pt>
                <c:pt idx="171" c:formatCode="dd/mm/yy">
                  <c:v>45932</c:v>
                </c:pt>
                <c:pt idx="172" c:formatCode="dd/mm/yy">
                  <c:v>45933</c:v>
                </c:pt>
                <c:pt idx="173" c:formatCode="dd/mm/yy">
                  <c:v>45934</c:v>
                </c:pt>
                <c:pt idx="174" c:formatCode="dd/mm/yy">
                  <c:v>45935</c:v>
                </c:pt>
                <c:pt idx="175" c:formatCode="dd/mm/yy">
                  <c:v>45936</c:v>
                </c:pt>
                <c:pt idx="176" c:formatCode="dd/mm/yy">
                  <c:v>45937</c:v>
                </c:pt>
                <c:pt idx="177" c:formatCode="dd/mm/yy">
                  <c:v>45938</c:v>
                </c:pt>
                <c:pt idx="178" c:formatCode="dd/mm/yy">
                  <c:v>45939</c:v>
                </c:pt>
                <c:pt idx="179" c:formatCode="dd/mm/yy">
                  <c:v>45940</c:v>
                </c:pt>
                <c:pt idx="180" c:formatCode="dd/mm/yy">
                  <c:v>45941</c:v>
                </c:pt>
                <c:pt idx="181" c:formatCode="dd/mm/yy">
                  <c:v>45942</c:v>
                </c:pt>
                <c:pt idx="182" c:formatCode="dd/mm/yy">
                  <c:v>45943</c:v>
                </c:pt>
                <c:pt idx="183" c:formatCode="dd/mm/yy">
                  <c:v>45944</c:v>
                </c:pt>
                <c:pt idx="184" c:formatCode="dd/mm/yy">
                  <c:v>45945</c:v>
                </c:pt>
                <c:pt idx="185" c:formatCode="dd/mm/yy">
                  <c:v>45946</c:v>
                </c:pt>
                <c:pt idx="186" c:formatCode="dd/mm/yy">
                  <c:v>45947</c:v>
                </c:pt>
                <c:pt idx="187" c:formatCode="dd/mm/yy">
                  <c:v>45948</c:v>
                </c:pt>
                <c:pt idx="188" c:formatCode="dd/mm/yy">
                  <c:v>45949</c:v>
                </c:pt>
                <c:pt idx="189" c:formatCode="dd/mm/yy">
                  <c:v>45950</c:v>
                </c:pt>
                <c:pt idx="190" c:formatCode="dd/mm/yy">
                  <c:v>45951</c:v>
                </c:pt>
                <c:pt idx="191" c:formatCode="dd/mm/yy">
                  <c:v>45952</c:v>
                </c:pt>
                <c:pt idx="192" c:formatCode="dd/mm/yy">
                  <c:v>45953</c:v>
                </c:pt>
                <c:pt idx="193" c:formatCode="dd/mm/yy">
                  <c:v>45954</c:v>
                </c:pt>
                <c:pt idx="194" c:formatCode="dd/mm/yy">
                  <c:v>45955</c:v>
                </c:pt>
                <c:pt idx="195" c:formatCode="dd/mm/yy">
                  <c:v>45956</c:v>
                </c:pt>
                <c:pt idx="196" c:formatCode="dd/mm/yy">
                  <c:v>45957</c:v>
                </c:pt>
                <c:pt idx="197" c:formatCode="dd/mm/yy">
                  <c:v>45958</c:v>
                </c:pt>
                <c:pt idx="198" c:formatCode="dd/mm/yy">
                  <c:v>45959</c:v>
                </c:pt>
                <c:pt idx="199" c:formatCode="dd/mm/yy">
                  <c:v>45960</c:v>
                </c:pt>
                <c:pt idx="200" c:formatCode="dd/mm/yy">
                  <c:v>45961</c:v>
                </c:pt>
                <c:pt idx="201" c:formatCode="dd/mm/yy">
                  <c:v>45962</c:v>
                </c:pt>
                <c:pt idx="202" c:formatCode="dd/mm/yy">
                  <c:v>45963</c:v>
                </c:pt>
                <c:pt idx="203" c:formatCode="dd/mm/yy">
                  <c:v>45964</c:v>
                </c:pt>
                <c:pt idx="204" c:formatCode="dd/mm/yy">
                  <c:v>45965</c:v>
                </c:pt>
                <c:pt idx="205" c:formatCode="dd/mm/yy">
                  <c:v>45966</c:v>
                </c:pt>
                <c:pt idx="206" c:formatCode="dd/mm/yy">
                  <c:v>45967</c:v>
                </c:pt>
                <c:pt idx="207" c:formatCode="dd/mm/yy">
                  <c:v>45968</c:v>
                </c:pt>
                <c:pt idx="208" c:formatCode="dd/mm/yy">
                  <c:v>45969</c:v>
                </c:pt>
                <c:pt idx="209" c:formatCode="dd/mm/yy">
                  <c:v>45970</c:v>
                </c:pt>
                <c:pt idx="210" c:formatCode="dd/mm/yy">
                  <c:v>45971</c:v>
                </c:pt>
                <c:pt idx="211" c:formatCode="dd/mm/yy">
                  <c:v>45972</c:v>
                </c:pt>
                <c:pt idx="212" c:formatCode="dd/mm/yy">
                  <c:v>45973</c:v>
                </c:pt>
                <c:pt idx="213" c:formatCode="dd/mm/yy">
                  <c:v>45974</c:v>
                </c:pt>
                <c:pt idx="214" c:formatCode="dd/mm/yy">
                  <c:v>45975</c:v>
                </c:pt>
                <c:pt idx="215" c:formatCode="dd/mm/yy">
                  <c:v>45976</c:v>
                </c:pt>
                <c:pt idx="216" c:formatCode="dd/mm/yy">
                  <c:v>45977</c:v>
                </c:pt>
                <c:pt idx="217" c:formatCode="dd/mm/yy">
                  <c:v>45978</c:v>
                </c:pt>
                <c:pt idx="218" c:formatCode="dd/mm/yy">
                  <c:v>45979</c:v>
                </c:pt>
                <c:pt idx="219" c:formatCode="dd/mm/yy">
                  <c:v>45980</c:v>
                </c:pt>
                <c:pt idx="220" c:formatCode="dd/mm/yy">
                  <c:v>45981</c:v>
                </c:pt>
                <c:pt idx="221" c:formatCode="dd/mm/yy">
                  <c:v>45982</c:v>
                </c:pt>
                <c:pt idx="222" c:formatCode="dd/mm/yy">
                  <c:v>45983</c:v>
                </c:pt>
                <c:pt idx="223" c:formatCode="dd/mm/yy">
                  <c:v>45984</c:v>
                </c:pt>
                <c:pt idx="224" c:formatCode="dd/mm/yy">
                  <c:v>45985</c:v>
                </c:pt>
                <c:pt idx="225" c:formatCode="dd/mm/yy">
                  <c:v>45986</c:v>
                </c:pt>
                <c:pt idx="226" c:formatCode="dd/mm/yy">
                  <c:v>45987</c:v>
                </c:pt>
                <c:pt idx="227" c:formatCode="dd/mm/yy">
                  <c:v>45988</c:v>
                </c:pt>
                <c:pt idx="228" c:formatCode="dd/mm/yy">
                  <c:v>45989</c:v>
                </c:pt>
                <c:pt idx="229" c:formatCode="dd/mm/yy">
                  <c:v>45990</c:v>
                </c:pt>
                <c:pt idx="230" c:formatCode="dd/mm/yy">
                  <c:v>45991</c:v>
                </c:pt>
                <c:pt idx="231" c:formatCode="dd/mm/yy">
                  <c:v>45992</c:v>
                </c:pt>
                <c:pt idx="232" c:formatCode="dd/mm/yy">
                  <c:v>45993</c:v>
                </c:pt>
                <c:pt idx="233" c:formatCode="dd/mm/yy">
                  <c:v>45994</c:v>
                </c:pt>
                <c:pt idx="234" c:formatCode="dd/mm/yy">
                  <c:v>45995</c:v>
                </c:pt>
                <c:pt idx="235" c:formatCode="dd/mm/yy">
                  <c:v>45996</c:v>
                </c:pt>
                <c:pt idx="236" c:formatCode="dd/mm/yy">
                  <c:v>45997</c:v>
                </c:pt>
                <c:pt idx="237" c:formatCode="dd/mm/yy">
                  <c:v>45998</c:v>
                </c:pt>
                <c:pt idx="238" c:formatCode="dd/mm/yy">
                  <c:v>45999</c:v>
                </c:pt>
                <c:pt idx="239" c:formatCode="dd/mm/yy">
                  <c:v>46000</c:v>
                </c:pt>
                <c:pt idx="240" c:formatCode="dd/mm/yy">
                  <c:v>46001</c:v>
                </c:pt>
                <c:pt idx="241" c:formatCode="dd/mm/yy">
                  <c:v>46002</c:v>
                </c:pt>
                <c:pt idx="242" c:formatCode="dd/mm/yy">
                  <c:v>46003</c:v>
                </c:pt>
                <c:pt idx="243" c:formatCode="dd/mm/yy">
                  <c:v>46004</c:v>
                </c:pt>
                <c:pt idx="244" c:formatCode="dd/mm/yy">
                  <c:v>46005</c:v>
                </c:pt>
                <c:pt idx="245" c:formatCode="dd/mm/yy">
                  <c:v>46006</c:v>
                </c:pt>
                <c:pt idx="246" c:formatCode="dd/mm/yy">
                  <c:v>46007</c:v>
                </c:pt>
                <c:pt idx="247" c:formatCode="dd/mm/yy">
                  <c:v>46008</c:v>
                </c:pt>
                <c:pt idx="248" c:formatCode="dd/mm/yy">
                  <c:v>46009</c:v>
                </c:pt>
                <c:pt idx="249" c:formatCode="dd/mm/yy">
                  <c:v>46010</c:v>
                </c:pt>
                <c:pt idx="250" c:formatCode="dd/mm/yy">
                  <c:v>46011</c:v>
                </c:pt>
                <c:pt idx="251" c:formatCode="dd/mm/yy">
                  <c:v>46012</c:v>
                </c:pt>
                <c:pt idx="252" c:formatCode="dd/mm/yy">
                  <c:v>46013</c:v>
                </c:pt>
                <c:pt idx="253" c:formatCode="dd/mm/yy">
                  <c:v>46014</c:v>
                </c:pt>
                <c:pt idx="254" c:formatCode="dd/mm/yy">
                  <c:v>46015</c:v>
                </c:pt>
                <c:pt idx="255" c:formatCode="dd/mm/yy">
                  <c:v>46016</c:v>
                </c:pt>
                <c:pt idx="256" c:formatCode="dd/mm/yy">
                  <c:v>46017</c:v>
                </c:pt>
                <c:pt idx="257" c:formatCode="dd/mm/yy">
                  <c:v>46018</c:v>
                </c:pt>
                <c:pt idx="258" c:formatCode="dd/mm/yy">
                  <c:v>46019</c:v>
                </c:pt>
                <c:pt idx="259" c:formatCode="dd/mm/yy">
                  <c:v>46020</c:v>
                </c:pt>
                <c:pt idx="260" c:formatCode="dd/mm/yy">
                  <c:v>46021</c:v>
                </c:pt>
                <c:pt idx="261" c:formatCode="dd/mm/yy">
                  <c:v>46022</c:v>
                </c:pt>
                <c:pt idx="262" c:formatCode="dd/mm/yy">
                  <c:v>46023</c:v>
                </c:pt>
                <c:pt idx="263" c:formatCode="dd/mm/yy">
                  <c:v>46024</c:v>
                </c:pt>
                <c:pt idx="264" c:formatCode="dd/mm/yy">
                  <c:v>46025</c:v>
                </c:pt>
                <c:pt idx="265" c:formatCode="dd/mm/yy">
                  <c:v>46026</c:v>
                </c:pt>
                <c:pt idx="266" c:formatCode="dd/mm/yy">
                  <c:v>46027</c:v>
                </c:pt>
                <c:pt idx="267" c:formatCode="dd/mm/yy">
                  <c:v>46028</c:v>
                </c:pt>
                <c:pt idx="268" c:formatCode="dd/mm/yy">
                  <c:v>46029</c:v>
                </c:pt>
                <c:pt idx="269" c:formatCode="dd/mm/yy">
                  <c:v>46030</c:v>
                </c:pt>
                <c:pt idx="270" c:formatCode="dd/mm/yy">
                  <c:v>46031</c:v>
                </c:pt>
                <c:pt idx="271" c:formatCode="dd/mm/yy">
                  <c:v>46032</c:v>
                </c:pt>
                <c:pt idx="272" c:formatCode="dd/mm/yy">
                  <c:v>46033</c:v>
                </c:pt>
                <c:pt idx="273" c:formatCode="dd/mm/yy">
                  <c:v>46034</c:v>
                </c:pt>
                <c:pt idx="274" c:formatCode="dd/mm/yy">
                  <c:v>46035</c:v>
                </c:pt>
                <c:pt idx="275" c:formatCode="dd/mm/yy">
                  <c:v>46036</c:v>
                </c:pt>
                <c:pt idx="276" c:formatCode="dd/mm/yy">
                  <c:v>46037</c:v>
                </c:pt>
                <c:pt idx="277" c:formatCode="dd/mm/yy">
                  <c:v>46038</c:v>
                </c:pt>
                <c:pt idx="278" c:formatCode="dd/mm/yy">
                  <c:v>46039</c:v>
                </c:pt>
                <c:pt idx="279" c:formatCode="dd/mm/yy">
                  <c:v>46040</c:v>
                </c:pt>
                <c:pt idx="280" c:formatCode="dd/mm/yy">
                  <c:v>46041</c:v>
                </c:pt>
                <c:pt idx="281" c:formatCode="dd/mm/yy">
                  <c:v>46042</c:v>
                </c:pt>
                <c:pt idx="282" c:formatCode="dd/mm/yy">
                  <c:v>46043</c:v>
                </c:pt>
                <c:pt idx="283" c:formatCode="dd/mm/yy">
                  <c:v>46044</c:v>
                </c:pt>
                <c:pt idx="284" c:formatCode="dd/mm/yy">
                  <c:v>46045</c:v>
                </c:pt>
                <c:pt idx="285" c:formatCode="dd/mm/yy">
                  <c:v>46046</c:v>
                </c:pt>
                <c:pt idx="286" c:formatCode="dd/mm/yy">
                  <c:v>46047</c:v>
                </c:pt>
                <c:pt idx="287" c:formatCode="dd/mm/yy">
                  <c:v>46048</c:v>
                </c:pt>
                <c:pt idx="288" c:formatCode="dd/mm/yy">
                  <c:v>46049</c:v>
                </c:pt>
                <c:pt idx="289" c:formatCode="dd/mm/yy">
                  <c:v>46050</c:v>
                </c:pt>
                <c:pt idx="290" c:formatCode="dd/mm/yy">
                  <c:v>46051</c:v>
                </c:pt>
                <c:pt idx="291" c:formatCode="dd/mm/yy">
                  <c:v>46052</c:v>
                </c:pt>
                <c:pt idx="292" c:formatCode="dd/mm/yy">
                  <c:v>46053</c:v>
                </c:pt>
                <c:pt idx="293" c:formatCode="dd/mm/yy">
                  <c:v>46054</c:v>
                </c:pt>
                <c:pt idx="294" c:formatCode="dd/mm/yy">
                  <c:v>46055</c:v>
                </c:pt>
                <c:pt idx="295" c:formatCode="dd/mm/yy">
                  <c:v>46056</c:v>
                </c:pt>
                <c:pt idx="296" c:formatCode="dd/mm/yy">
                  <c:v>46057</c:v>
                </c:pt>
                <c:pt idx="297" c:formatCode="dd/mm/yy">
                  <c:v>46058</c:v>
                </c:pt>
                <c:pt idx="298" c:formatCode="dd/mm/yy">
                  <c:v>46059</c:v>
                </c:pt>
                <c:pt idx="299" c:formatCode="dd/mm/yy">
                  <c:v>46060</c:v>
                </c:pt>
                <c:pt idx="300" c:formatCode="dd/mm/yy">
                  <c:v>46061</c:v>
                </c:pt>
                <c:pt idx="301" c:formatCode="dd/mm/yy">
                  <c:v>46062</c:v>
                </c:pt>
                <c:pt idx="302" c:formatCode="dd/mm/yy">
                  <c:v>46063</c:v>
                </c:pt>
                <c:pt idx="303" c:formatCode="dd/mm/yy">
                  <c:v>46064</c:v>
                </c:pt>
                <c:pt idx="304" c:formatCode="dd/mm/yy">
                  <c:v>46065</c:v>
                </c:pt>
                <c:pt idx="305" c:formatCode="dd/mm/yy">
                  <c:v>46066</c:v>
                </c:pt>
                <c:pt idx="306" c:formatCode="dd/mm/yy">
                  <c:v>46067</c:v>
                </c:pt>
                <c:pt idx="307" c:formatCode="dd/mm/yy">
                  <c:v>46068</c:v>
                </c:pt>
                <c:pt idx="308" c:formatCode="dd/mm/yy">
                  <c:v>46069</c:v>
                </c:pt>
                <c:pt idx="309" c:formatCode="dd/mm/yy">
                  <c:v>46070</c:v>
                </c:pt>
                <c:pt idx="310" c:formatCode="dd/mm/yy">
                  <c:v>46071</c:v>
                </c:pt>
                <c:pt idx="311" c:formatCode="dd/mm/yy">
                  <c:v>46072</c:v>
                </c:pt>
                <c:pt idx="312" c:formatCode="dd/mm/yy">
                  <c:v>46073</c:v>
                </c:pt>
                <c:pt idx="313" c:formatCode="dd/mm/yy">
                  <c:v>46074</c:v>
                </c:pt>
                <c:pt idx="314" c:formatCode="dd/mm/yy">
                  <c:v>46075</c:v>
                </c:pt>
                <c:pt idx="315" c:formatCode="dd/mm/yy">
                  <c:v>46076</c:v>
                </c:pt>
                <c:pt idx="316" c:formatCode="dd/mm/yy">
                  <c:v>46077</c:v>
                </c:pt>
                <c:pt idx="317" c:formatCode="dd/mm/yy">
                  <c:v>46078</c:v>
                </c:pt>
                <c:pt idx="318" c:formatCode="dd/mm/yy">
                  <c:v>46079</c:v>
                </c:pt>
              </c:numCache>
            </c:numRef>
          </c:cat>
          <c:val>
            <c:numRef>
              <c:f>Sheet1!$C$2:$C$320</c:f>
              <c:numCache>
                <c:formatCode>General</c:formatCode>
                <c:ptCount val="3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155008"/>
        <c:axId val="82156928"/>
      </c:lineChart>
      <c:dateAx>
        <c:axId val="82155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date</a:t>
                </a:r>
                <a:endParaRPr lang="fr-F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dd/mm/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2156928"/>
        <c:crosses val="autoZero"/>
        <c:auto val="1"/>
        <c:lblOffset val="100"/>
        <c:baseTimeUnit val="days"/>
      </c:dateAx>
      <c:valAx>
        <c:axId val="821569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cross"/>
        <c:minorTickMark val="cross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21550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83da43-98a9-420a-90a5-6e6f52f5d7cf}"/>
      </c:ext>
    </c:extLst>
  </c:chart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ja-JP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recettes, dépenses and total par jour</a:t>
            </a:r>
            <a:endParaRPr lang="fr-F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 par jour</c:v>
                </c:pt>
              </c:strCache>
            </c:strRef>
          </c:tx>
          <c:spPr>
            <a:ln w="19050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Sheet1!$A$2:$A$320</c:f>
              <c:numCache>
                <c:formatCode>dd/mm/yy</c:formatCode>
                <c:ptCount val="319"/>
                <c:pt idx="0" c:formatCode="dd/mm/yy">
                  <c:v>45761</c:v>
                </c:pt>
                <c:pt idx="1" c:formatCode="dd/mm/yy">
                  <c:v>45762</c:v>
                </c:pt>
                <c:pt idx="2" c:formatCode="dd/mm/yy">
                  <c:v>45763</c:v>
                </c:pt>
                <c:pt idx="3" c:formatCode="dd/mm/yy">
                  <c:v>45764</c:v>
                </c:pt>
                <c:pt idx="4" c:formatCode="dd/mm/yy">
                  <c:v>45765</c:v>
                </c:pt>
                <c:pt idx="5" c:formatCode="dd/mm/yy">
                  <c:v>45766</c:v>
                </c:pt>
                <c:pt idx="6" c:formatCode="dd/mm/yy">
                  <c:v>45767</c:v>
                </c:pt>
                <c:pt idx="7" c:formatCode="dd/mm/yy">
                  <c:v>45768</c:v>
                </c:pt>
                <c:pt idx="8" c:formatCode="dd/mm/yy">
                  <c:v>45769</c:v>
                </c:pt>
                <c:pt idx="9" c:formatCode="dd/mm/yy">
                  <c:v>45770</c:v>
                </c:pt>
                <c:pt idx="10" c:formatCode="dd/mm/yy">
                  <c:v>45771</c:v>
                </c:pt>
                <c:pt idx="11" c:formatCode="dd/mm/yy">
                  <c:v>45772</c:v>
                </c:pt>
                <c:pt idx="12" c:formatCode="dd/mm/yy">
                  <c:v>45773</c:v>
                </c:pt>
                <c:pt idx="13" c:formatCode="dd/mm/yy">
                  <c:v>45774</c:v>
                </c:pt>
                <c:pt idx="14" c:formatCode="dd/mm/yy">
                  <c:v>45775</c:v>
                </c:pt>
                <c:pt idx="15" c:formatCode="dd/mm/yy">
                  <c:v>45776</c:v>
                </c:pt>
                <c:pt idx="16" c:formatCode="dd/mm/yy">
                  <c:v>45777</c:v>
                </c:pt>
                <c:pt idx="17" c:formatCode="dd/mm/yy">
                  <c:v>45778</c:v>
                </c:pt>
                <c:pt idx="18" c:formatCode="dd/mm/yy">
                  <c:v>45779</c:v>
                </c:pt>
                <c:pt idx="19" c:formatCode="dd/mm/yy">
                  <c:v>45780</c:v>
                </c:pt>
                <c:pt idx="20" c:formatCode="dd/mm/yy">
                  <c:v>45781</c:v>
                </c:pt>
                <c:pt idx="21" c:formatCode="dd/mm/yy">
                  <c:v>45782</c:v>
                </c:pt>
                <c:pt idx="22" c:formatCode="dd/mm/yy">
                  <c:v>45783</c:v>
                </c:pt>
                <c:pt idx="23" c:formatCode="dd/mm/yy">
                  <c:v>45784</c:v>
                </c:pt>
                <c:pt idx="24" c:formatCode="dd/mm/yy">
                  <c:v>45785</c:v>
                </c:pt>
                <c:pt idx="25" c:formatCode="dd/mm/yy">
                  <c:v>45786</c:v>
                </c:pt>
                <c:pt idx="26" c:formatCode="dd/mm/yy">
                  <c:v>45787</c:v>
                </c:pt>
                <c:pt idx="27" c:formatCode="dd/mm/yy">
                  <c:v>45788</c:v>
                </c:pt>
                <c:pt idx="28" c:formatCode="dd/mm/yy">
                  <c:v>45789</c:v>
                </c:pt>
                <c:pt idx="29" c:formatCode="dd/mm/yy">
                  <c:v>45790</c:v>
                </c:pt>
                <c:pt idx="30" c:formatCode="dd/mm/yy">
                  <c:v>45791</c:v>
                </c:pt>
                <c:pt idx="31" c:formatCode="dd/mm/yy">
                  <c:v>45792</c:v>
                </c:pt>
                <c:pt idx="32" c:formatCode="dd/mm/yy">
                  <c:v>45793</c:v>
                </c:pt>
                <c:pt idx="33" c:formatCode="dd/mm/yy">
                  <c:v>45794</c:v>
                </c:pt>
                <c:pt idx="34" c:formatCode="dd/mm/yy">
                  <c:v>45795</c:v>
                </c:pt>
                <c:pt idx="35" c:formatCode="dd/mm/yy">
                  <c:v>45796</c:v>
                </c:pt>
                <c:pt idx="36" c:formatCode="dd/mm/yy">
                  <c:v>45797</c:v>
                </c:pt>
                <c:pt idx="37" c:formatCode="dd/mm/yy">
                  <c:v>45798</c:v>
                </c:pt>
                <c:pt idx="38" c:formatCode="dd/mm/yy">
                  <c:v>45799</c:v>
                </c:pt>
                <c:pt idx="39" c:formatCode="dd/mm/yy">
                  <c:v>45800</c:v>
                </c:pt>
                <c:pt idx="40" c:formatCode="dd/mm/yy">
                  <c:v>45801</c:v>
                </c:pt>
                <c:pt idx="41" c:formatCode="dd/mm/yy">
                  <c:v>45802</c:v>
                </c:pt>
                <c:pt idx="42" c:formatCode="dd/mm/yy">
                  <c:v>45803</c:v>
                </c:pt>
                <c:pt idx="43" c:formatCode="dd/mm/yy">
                  <c:v>45804</c:v>
                </c:pt>
                <c:pt idx="44" c:formatCode="dd/mm/yy">
                  <c:v>45805</c:v>
                </c:pt>
                <c:pt idx="45" c:formatCode="dd/mm/yy">
                  <c:v>45806</c:v>
                </c:pt>
                <c:pt idx="46" c:formatCode="dd/mm/yy">
                  <c:v>45807</c:v>
                </c:pt>
                <c:pt idx="47" c:formatCode="dd/mm/yy">
                  <c:v>45808</c:v>
                </c:pt>
                <c:pt idx="48" c:formatCode="dd/mm/yy">
                  <c:v>45809</c:v>
                </c:pt>
                <c:pt idx="49" c:formatCode="dd/mm/yy">
                  <c:v>45810</c:v>
                </c:pt>
                <c:pt idx="50" c:formatCode="dd/mm/yy">
                  <c:v>45811</c:v>
                </c:pt>
                <c:pt idx="51" c:formatCode="dd/mm/yy">
                  <c:v>45812</c:v>
                </c:pt>
                <c:pt idx="52" c:formatCode="dd/mm/yy">
                  <c:v>45813</c:v>
                </c:pt>
                <c:pt idx="53" c:formatCode="dd/mm/yy">
                  <c:v>45814</c:v>
                </c:pt>
                <c:pt idx="54" c:formatCode="dd/mm/yy">
                  <c:v>45815</c:v>
                </c:pt>
                <c:pt idx="55" c:formatCode="dd/mm/yy">
                  <c:v>45816</c:v>
                </c:pt>
                <c:pt idx="56" c:formatCode="dd/mm/yy">
                  <c:v>45817</c:v>
                </c:pt>
                <c:pt idx="57" c:formatCode="dd/mm/yy">
                  <c:v>45818</c:v>
                </c:pt>
                <c:pt idx="58" c:formatCode="dd/mm/yy">
                  <c:v>45819</c:v>
                </c:pt>
                <c:pt idx="59" c:formatCode="dd/mm/yy">
                  <c:v>45820</c:v>
                </c:pt>
                <c:pt idx="60" c:formatCode="dd/mm/yy">
                  <c:v>45821</c:v>
                </c:pt>
                <c:pt idx="61" c:formatCode="dd/mm/yy">
                  <c:v>45822</c:v>
                </c:pt>
                <c:pt idx="62" c:formatCode="dd/mm/yy">
                  <c:v>45823</c:v>
                </c:pt>
                <c:pt idx="63" c:formatCode="dd/mm/yy">
                  <c:v>45824</c:v>
                </c:pt>
                <c:pt idx="64" c:formatCode="dd/mm/yy">
                  <c:v>45825</c:v>
                </c:pt>
                <c:pt idx="65" c:formatCode="dd/mm/yy">
                  <c:v>45826</c:v>
                </c:pt>
                <c:pt idx="66" c:formatCode="dd/mm/yy">
                  <c:v>45827</c:v>
                </c:pt>
                <c:pt idx="67" c:formatCode="dd/mm/yy">
                  <c:v>45828</c:v>
                </c:pt>
                <c:pt idx="68" c:formatCode="dd/mm/yy">
                  <c:v>45829</c:v>
                </c:pt>
                <c:pt idx="69" c:formatCode="dd/mm/yy">
                  <c:v>45830</c:v>
                </c:pt>
                <c:pt idx="70" c:formatCode="dd/mm/yy">
                  <c:v>45831</c:v>
                </c:pt>
                <c:pt idx="71" c:formatCode="dd/mm/yy">
                  <c:v>45832</c:v>
                </c:pt>
                <c:pt idx="72" c:formatCode="dd/mm/yy">
                  <c:v>45833</c:v>
                </c:pt>
                <c:pt idx="73" c:formatCode="dd/mm/yy">
                  <c:v>45834</c:v>
                </c:pt>
                <c:pt idx="74" c:formatCode="dd/mm/yy">
                  <c:v>45835</c:v>
                </c:pt>
                <c:pt idx="75" c:formatCode="dd/mm/yy">
                  <c:v>45836</c:v>
                </c:pt>
                <c:pt idx="76" c:formatCode="dd/mm/yy">
                  <c:v>45837</c:v>
                </c:pt>
                <c:pt idx="77" c:formatCode="dd/mm/yy">
                  <c:v>45838</c:v>
                </c:pt>
                <c:pt idx="78" c:formatCode="dd/mm/yy">
                  <c:v>45839</c:v>
                </c:pt>
                <c:pt idx="79" c:formatCode="dd/mm/yy">
                  <c:v>45840</c:v>
                </c:pt>
                <c:pt idx="80" c:formatCode="dd/mm/yy">
                  <c:v>45841</c:v>
                </c:pt>
                <c:pt idx="81" c:formatCode="dd/mm/yy">
                  <c:v>45842</c:v>
                </c:pt>
                <c:pt idx="82" c:formatCode="dd/mm/yy">
                  <c:v>45843</c:v>
                </c:pt>
                <c:pt idx="83" c:formatCode="dd/mm/yy">
                  <c:v>45844</c:v>
                </c:pt>
                <c:pt idx="84" c:formatCode="dd/mm/yy">
                  <c:v>45845</c:v>
                </c:pt>
                <c:pt idx="85" c:formatCode="dd/mm/yy">
                  <c:v>45846</c:v>
                </c:pt>
                <c:pt idx="86" c:formatCode="dd/mm/yy">
                  <c:v>45847</c:v>
                </c:pt>
                <c:pt idx="87" c:formatCode="dd/mm/yy">
                  <c:v>45848</c:v>
                </c:pt>
                <c:pt idx="88" c:formatCode="dd/mm/yy">
                  <c:v>45849</c:v>
                </c:pt>
                <c:pt idx="89" c:formatCode="dd/mm/yy">
                  <c:v>45850</c:v>
                </c:pt>
                <c:pt idx="90" c:formatCode="dd/mm/yy">
                  <c:v>45851</c:v>
                </c:pt>
                <c:pt idx="91" c:formatCode="dd/mm/yy">
                  <c:v>45852</c:v>
                </c:pt>
                <c:pt idx="92" c:formatCode="dd/mm/yy">
                  <c:v>45853</c:v>
                </c:pt>
                <c:pt idx="93" c:formatCode="dd/mm/yy">
                  <c:v>45854</c:v>
                </c:pt>
                <c:pt idx="94" c:formatCode="dd/mm/yy">
                  <c:v>45855</c:v>
                </c:pt>
                <c:pt idx="95" c:formatCode="dd/mm/yy">
                  <c:v>45856</c:v>
                </c:pt>
                <c:pt idx="96" c:formatCode="dd/mm/yy">
                  <c:v>45857</c:v>
                </c:pt>
                <c:pt idx="97" c:formatCode="dd/mm/yy">
                  <c:v>45858</c:v>
                </c:pt>
                <c:pt idx="98" c:formatCode="dd/mm/yy">
                  <c:v>45859</c:v>
                </c:pt>
                <c:pt idx="99" c:formatCode="dd/mm/yy">
                  <c:v>45860</c:v>
                </c:pt>
                <c:pt idx="100" c:formatCode="dd/mm/yy">
                  <c:v>45861</c:v>
                </c:pt>
                <c:pt idx="101" c:formatCode="dd/mm/yy">
                  <c:v>45862</c:v>
                </c:pt>
                <c:pt idx="102" c:formatCode="dd/mm/yy">
                  <c:v>45863</c:v>
                </c:pt>
                <c:pt idx="103" c:formatCode="dd/mm/yy">
                  <c:v>45864</c:v>
                </c:pt>
                <c:pt idx="104" c:formatCode="dd/mm/yy">
                  <c:v>45865</c:v>
                </c:pt>
                <c:pt idx="105" c:formatCode="dd/mm/yy">
                  <c:v>45866</c:v>
                </c:pt>
                <c:pt idx="106" c:formatCode="dd/mm/yy">
                  <c:v>45867</c:v>
                </c:pt>
                <c:pt idx="107" c:formatCode="dd/mm/yy">
                  <c:v>45868</c:v>
                </c:pt>
                <c:pt idx="108" c:formatCode="dd/mm/yy">
                  <c:v>45869</c:v>
                </c:pt>
                <c:pt idx="109" c:formatCode="dd/mm/yy">
                  <c:v>45870</c:v>
                </c:pt>
                <c:pt idx="110" c:formatCode="dd/mm/yy">
                  <c:v>45871</c:v>
                </c:pt>
                <c:pt idx="111" c:formatCode="dd/mm/yy">
                  <c:v>45872</c:v>
                </c:pt>
                <c:pt idx="112" c:formatCode="dd/mm/yy">
                  <c:v>45873</c:v>
                </c:pt>
                <c:pt idx="113" c:formatCode="dd/mm/yy">
                  <c:v>45874</c:v>
                </c:pt>
                <c:pt idx="114" c:formatCode="dd/mm/yy">
                  <c:v>45875</c:v>
                </c:pt>
                <c:pt idx="115" c:formatCode="dd/mm/yy">
                  <c:v>45876</c:v>
                </c:pt>
                <c:pt idx="116" c:formatCode="dd/mm/yy">
                  <c:v>45877</c:v>
                </c:pt>
                <c:pt idx="117" c:formatCode="dd/mm/yy">
                  <c:v>45878</c:v>
                </c:pt>
                <c:pt idx="118" c:formatCode="dd/mm/yy">
                  <c:v>45879</c:v>
                </c:pt>
                <c:pt idx="119" c:formatCode="dd/mm/yy">
                  <c:v>45880</c:v>
                </c:pt>
                <c:pt idx="120" c:formatCode="dd/mm/yy">
                  <c:v>45881</c:v>
                </c:pt>
                <c:pt idx="121" c:formatCode="dd/mm/yy">
                  <c:v>45882</c:v>
                </c:pt>
                <c:pt idx="122" c:formatCode="dd/mm/yy">
                  <c:v>45883</c:v>
                </c:pt>
                <c:pt idx="123" c:formatCode="dd/mm/yy">
                  <c:v>45884</c:v>
                </c:pt>
                <c:pt idx="124" c:formatCode="dd/mm/yy">
                  <c:v>45885</c:v>
                </c:pt>
                <c:pt idx="125" c:formatCode="dd/mm/yy">
                  <c:v>45886</c:v>
                </c:pt>
                <c:pt idx="126" c:formatCode="dd/mm/yy">
                  <c:v>45887</c:v>
                </c:pt>
                <c:pt idx="127" c:formatCode="dd/mm/yy">
                  <c:v>45888</c:v>
                </c:pt>
                <c:pt idx="128" c:formatCode="dd/mm/yy">
                  <c:v>45889</c:v>
                </c:pt>
                <c:pt idx="129" c:formatCode="dd/mm/yy">
                  <c:v>45890</c:v>
                </c:pt>
                <c:pt idx="130" c:formatCode="dd/mm/yy">
                  <c:v>45891</c:v>
                </c:pt>
                <c:pt idx="131" c:formatCode="dd/mm/yy">
                  <c:v>45892</c:v>
                </c:pt>
                <c:pt idx="132" c:formatCode="dd/mm/yy">
                  <c:v>45893</c:v>
                </c:pt>
                <c:pt idx="133" c:formatCode="dd/mm/yy">
                  <c:v>45894</c:v>
                </c:pt>
                <c:pt idx="134" c:formatCode="dd/mm/yy">
                  <c:v>45895</c:v>
                </c:pt>
                <c:pt idx="135" c:formatCode="dd/mm/yy">
                  <c:v>45896</c:v>
                </c:pt>
                <c:pt idx="136" c:formatCode="dd/mm/yy">
                  <c:v>45897</c:v>
                </c:pt>
                <c:pt idx="137" c:formatCode="dd/mm/yy">
                  <c:v>45898</c:v>
                </c:pt>
                <c:pt idx="138" c:formatCode="dd/mm/yy">
                  <c:v>45899</c:v>
                </c:pt>
                <c:pt idx="139" c:formatCode="dd/mm/yy">
                  <c:v>45900</c:v>
                </c:pt>
                <c:pt idx="140" c:formatCode="dd/mm/yy">
                  <c:v>45901</c:v>
                </c:pt>
                <c:pt idx="141" c:formatCode="dd/mm/yy">
                  <c:v>45902</c:v>
                </c:pt>
                <c:pt idx="142" c:formatCode="dd/mm/yy">
                  <c:v>45903</c:v>
                </c:pt>
                <c:pt idx="143" c:formatCode="dd/mm/yy">
                  <c:v>45904</c:v>
                </c:pt>
                <c:pt idx="144" c:formatCode="dd/mm/yy">
                  <c:v>45905</c:v>
                </c:pt>
                <c:pt idx="145" c:formatCode="dd/mm/yy">
                  <c:v>45906</c:v>
                </c:pt>
                <c:pt idx="146" c:formatCode="dd/mm/yy">
                  <c:v>45907</c:v>
                </c:pt>
                <c:pt idx="147" c:formatCode="dd/mm/yy">
                  <c:v>45908</c:v>
                </c:pt>
                <c:pt idx="148" c:formatCode="dd/mm/yy">
                  <c:v>45909</c:v>
                </c:pt>
                <c:pt idx="149" c:formatCode="dd/mm/yy">
                  <c:v>45910</c:v>
                </c:pt>
                <c:pt idx="150" c:formatCode="dd/mm/yy">
                  <c:v>45911</c:v>
                </c:pt>
                <c:pt idx="151" c:formatCode="dd/mm/yy">
                  <c:v>45912</c:v>
                </c:pt>
                <c:pt idx="152" c:formatCode="dd/mm/yy">
                  <c:v>45913</c:v>
                </c:pt>
                <c:pt idx="153" c:formatCode="dd/mm/yy">
                  <c:v>45914</c:v>
                </c:pt>
                <c:pt idx="154" c:formatCode="dd/mm/yy">
                  <c:v>45915</c:v>
                </c:pt>
                <c:pt idx="155" c:formatCode="dd/mm/yy">
                  <c:v>45916</c:v>
                </c:pt>
                <c:pt idx="156" c:formatCode="dd/mm/yy">
                  <c:v>45917</c:v>
                </c:pt>
                <c:pt idx="157" c:formatCode="dd/mm/yy">
                  <c:v>45918</c:v>
                </c:pt>
                <c:pt idx="158" c:formatCode="dd/mm/yy">
                  <c:v>45919</c:v>
                </c:pt>
                <c:pt idx="159" c:formatCode="dd/mm/yy">
                  <c:v>45920</c:v>
                </c:pt>
                <c:pt idx="160" c:formatCode="dd/mm/yy">
                  <c:v>45921</c:v>
                </c:pt>
                <c:pt idx="161" c:formatCode="dd/mm/yy">
                  <c:v>45922</c:v>
                </c:pt>
                <c:pt idx="162" c:formatCode="dd/mm/yy">
                  <c:v>45923</c:v>
                </c:pt>
                <c:pt idx="163" c:formatCode="dd/mm/yy">
                  <c:v>45924</c:v>
                </c:pt>
                <c:pt idx="164" c:formatCode="dd/mm/yy">
                  <c:v>45925</c:v>
                </c:pt>
                <c:pt idx="165" c:formatCode="dd/mm/yy">
                  <c:v>45926</c:v>
                </c:pt>
                <c:pt idx="166" c:formatCode="dd/mm/yy">
                  <c:v>45927</c:v>
                </c:pt>
                <c:pt idx="167" c:formatCode="dd/mm/yy">
                  <c:v>45928</c:v>
                </c:pt>
                <c:pt idx="168" c:formatCode="dd/mm/yy">
                  <c:v>45929</c:v>
                </c:pt>
                <c:pt idx="169" c:formatCode="dd/mm/yy">
                  <c:v>45930</c:v>
                </c:pt>
                <c:pt idx="170" c:formatCode="dd/mm/yy">
                  <c:v>45931</c:v>
                </c:pt>
                <c:pt idx="171" c:formatCode="dd/mm/yy">
                  <c:v>45932</c:v>
                </c:pt>
                <c:pt idx="172" c:formatCode="dd/mm/yy">
                  <c:v>45933</c:v>
                </c:pt>
                <c:pt idx="173" c:formatCode="dd/mm/yy">
                  <c:v>45934</c:v>
                </c:pt>
                <c:pt idx="174" c:formatCode="dd/mm/yy">
                  <c:v>45935</c:v>
                </c:pt>
                <c:pt idx="175" c:formatCode="dd/mm/yy">
                  <c:v>45936</c:v>
                </c:pt>
                <c:pt idx="176" c:formatCode="dd/mm/yy">
                  <c:v>45937</c:v>
                </c:pt>
                <c:pt idx="177" c:formatCode="dd/mm/yy">
                  <c:v>45938</c:v>
                </c:pt>
                <c:pt idx="178" c:formatCode="dd/mm/yy">
                  <c:v>45939</c:v>
                </c:pt>
                <c:pt idx="179" c:formatCode="dd/mm/yy">
                  <c:v>45940</c:v>
                </c:pt>
                <c:pt idx="180" c:formatCode="dd/mm/yy">
                  <c:v>45941</c:v>
                </c:pt>
                <c:pt idx="181" c:formatCode="dd/mm/yy">
                  <c:v>45942</c:v>
                </c:pt>
                <c:pt idx="182" c:formatCode="dd/mm/yy">
                  <c:v>45943</c:v>
                </c:pt>
                <c:pt idx="183" c:formatCode="dd/mm/yy">
                  <c:v>45944</c:v>
                </c:pt>
                <c:pt idx="184" c:formatCode="dd/mm/yy">
                  <c:v>45945</c:v>
                </c:pt>
                <c:pt idx="185" c:formatCode="dd/mm/yy">
                  <c:v>45946</c:v>
                </c:pt>
                <c:pt idx="186" c:formatCode="dd/mm/yy">
                  <c:v>45947</c:v>
                </c:pt>
                <c:pt idx="187" c:formatCode="dd/mm/yy">
                  <c:v>45948</c:v>
                </c:pt>
                <c:pt idx="188" c:formatCode="dd/mm/yy">
                  <c:v>45949</c:v>
                </c:pt>
                <c:pt idx="189" c:formatCode="dd/mm/yy">
                  <c:v>45950</c:v>
                </c:pt>
                <c:pt idx="190" c:formatCode="dd/mm/yy">
                  <c:v>45951</c:v>
                </c:pt>
                <c:pt idx="191" c:formatCode="dd/mm/yy">
                  <c:v>45952</c:v>
                </c:pt>
                <c:pt idx="192" c:formatCode="dd/mm/yy">
                  <c:v>45953</c:v>
                </c:pt>
                <c:pt idx="193" c:formatCode="dd/mm/yy">
                  <c:v>45954</c:v>
                </c:pt>
                <c:pt idx="194" c:formatCode="dd/mm/yy">
                  <c:v>45955</c:v>
                </c:pt>
                <c:pt idx="195" c:formatCode="dd/mm/yy">
                  <c:v>45956</c:v>
                </c:pt>
                <c:pt idx="196" c:formatCode="dd/mm/yy">
                  <c:v>45957</c:v>
                </c:pt>
                <c:pt idx="197" c:formatCode="dd/mm/yy">
                  <c:v>45958</c:v>
                </c:pt>
                <c:pt idx="198" c:formatCode="dd/mm/yy">
                  <c:v>45959</c:v>
                </c:pt>
                <c:pt idx="199" c:formatCode="dd/mm/yy">
                  <c:v>45960</c:v>
                </c:pt>
                <c:pt idx="200" c:formatCode="dd/mm/yy">
                  <c:v>45961</c:v>
                </c:pt>
                <c:pt idx="201" c:formatCode="dd/mm/yy">
                  <c:v>45962</c:v>
                </c:pt>
                <c:pt idx="202" c:formatCode="dd/mm/yy">
                  <c:v>45963</c:v>
                </c:pt>
                <c:pt idx="203" c:formatCode="dd/mm/yy">
                  <c:v>45964</c:v>
                </c:pt>
                <c:pt idx="204" c:formatCode="dd/mm/yy">
                  <c:v>45965</c:v>
                </c:pt>
                <c:pt idx="205" c:formatCode="dd/mm/yy">
                  <c:v>45966</c:v>
                </c:pt>
                <c:pt idx="206" c:formatCode="dd/mm/yy">
                  <c:v>45967</c:v>
                </c:pt>
                <c:pt idx="207" c:formatCode="dd/mm/yy">
                  <c:v>45968</c:v>
                </c:pt>
                <c:pt idx="208" c:formatCode="dd/mm/yy">
                  <c:v>45969</c:v>
                </c:pt>
                <c:pt idx="209" c:formatCode="dd/mm/yy">
                  <c:v>45970</c:v>
                </c:pt>
                <c:pt idx="210" c:formatCode="dd/mm/yy">
                  <c:v>45971</c:v>
                </c:pt>
                <c:pt idx="211" c:formatCode="dd/mm/yy">
                  <c:v>45972</c:v>
                </c:pt>
                <c:pt idx="212" c:formatCode="dd/mm/yy">
                  <c:v>45973</c:v>
                </c:pt>
                <c:pt idx="213" c:formatCode="dd/mm/yy">
                  <c:v>45974</c:v>
                </c:pt>
                <c:pt idx="214" c:formatCode="dd/mm/yy">
                  <c:v>45975</c:v>
                </c:pt>
                <c:pt idx="215" c:formatCode="dd/mm/yy">
                  <c:v>45976</c:v>
                </c:pt>
                <c:pt idx="216" c:formatCode="dd/mm/yy">
                  <c:v>45977</c:v>
                </c:pt>
                <c:pt idx="217" c:formatCode="dd/mm/yy">
                  <c:v>45978</c:v>
                </c:pt>
                <c:pt idx="218" c:formatCode="dd/mm/yy">
                  <c:v>45979</c:v>
                </c:pt>
                <c:pt idx="219" c:formatCode="dd/mm/yy">
                  <c:v>45980</c:v>
                </c:pt>
                <c:pt idx="220" c:formatCode="dd/mm/yy">
                  <c:v>45981</c:v>
                </c:pt>
                <c:pt idx="221" c:formatCode="dd/mm/yy">
                  <c:v>45982</c:v>
                </c:pt>
                <c:pt idx="222" c:formatCode="dd/mm/yy">
                  <c:v>45983</c:v>
                </c:pt>
                <c:pt idx="223" c:formatCode="dd/mm/yy">
                  <c:v>45984</c:v>
                </c:pt>
                <c:pt idx="224" c:formatCode="dd/mm/yy">
                  <c:v>45985</c:v>
                </c:pt>
                <c:pt idx="225" c:formatCode="dd/mm/yy">
                  <c:v>45986</c:v>
                </c:pt>
                <c:pt idx="226" c:formatCode="dd/mm/yy">
                  <c:v>45987</c:v>
                </c:pt>
                <c:pt idx="227" c:formatCode="dd/mm/yy">
                  <c:v>45988</c:v>
                </c:pt>
                <c:pt idx="228" c:formatCode="dd/mm/yy">
                  <c:v>45989</c:v>
                </c:pt>
                <c:pt idx="229" c:formatCode="dd/mm/yy">
                  <c:v>45990</c:v>
                </c:pt>
                <c:pt idx="230" c:formatCode="dd/mm/yy">
                  <c:v>45991</c:v>
                </c:pt>
                <c:pt idx="231" c:formatCode="dd/mm/yy">
                  <c:v>45992</c:v>
                </c:pt>
                <c:pt idx="232" c:formatCode="dd/mm/yy">
                  <c:v>45993</c:v>
                </c:pt>
                <c:pt idx="233" c:formatCode="dd/mm/yy">
                  <c:v>45994</c:v>
                </c:pt>
                <c:pt idx="234" c:formatCode="dd/mm/yy">
                  <c:v>45995</c:v>
                </c:pt>
                <c:pt idx="235" c:formatCode="dd/mm/yy">
                  <c:v>45996</c:v>
                </c:pt>
                <c:pt idx="236" c:formatCode="dd/mm/yy">
                  <c:v>45997</c:v>
                </c:pt>
                <c:pt idx="237" c:formatCode="dd/mm/yy">
                  <c:v>45998</c:v>
                </c:pt>
                <c:pt idx="238" c:formatCode="dd/mm/yy">
                  <c:v>45999</c:v>
                </c:pt>
                <c:pt idx="239" c:formatCode="dd/mm/yy">
                  <c:v>46000</c:v>
                </c:pt>
                <c:pt idx="240" c:formatCode="dd/mm/yy">
                  <c:v>46001</c:v>
                </c:pt>
                <c:pt idx="241" c:formatCode="dd/mm/yy">
                  <c:v>46002</c:v>
                </c:pt>
                <c:pt idx="242" c:formatCode="dd/mm/yy">
                  <c:v>46003</c:v>
                </c:pt>
                <c:pt idx="243" c:formatCode="dd/mm/yy">
                  <c:v>46004</c:v>
                </c:pt>
                <c:pt idx="244" c:formatCode="dd/mm/yy">
                  <c:v>46005</c:v>
                </c:pt>
                <c:pt idx="245" c:formatCode="dd/mm/yy">
                  <c:v>46006</c:v>
                </c:pt>
                <c:pt idx="246" c:formatCode="dd/mm/yy">
                  <c:v>46007</c:v>
                </c:pt>
                <c:pt idx="247" c:formatCode="dd/mm/yy">
                  <c:v>46008</c:v>
                </c:pt>
                <c:pt idx="248" c:formatCode="dd/mm/yy">
                  <c:v>46009</c:v>
                </c:pt>
                <c:pt idx="249" c:formatCode="dd/mm/yy">
                  <c:v>46010</c:v>
                </c:pt>
                <c:pt idx="250" c:formatCode="dd/mm/yy">
                  <c:v>46011</c:v>
                </c:pt>
                <c:pt idx="251" c:formatCode="dd/mm/yy">
                  <c:v>46012</c:v>
                </c:pt>
                <c:pt idx="252" c:formatCode="dd/mm/yy">
                  <c:v>46013</c:v>
                </c:pt>
                <c:pt idx="253" c:formatCode="dd/mm/yy">
                  <c:v>46014</c:v>
                </c:pt>
                <c:pt idx="254" c:formatCode="dd/mm/yy">
                  <c:v>46015</c:v>
                </c:pt>
                <c:pt idx="255" c:formatCode="dd/mm/yy">
                  <c:v>46016</c:v>
                </c:pt>
                <c:pt idx="256" c:formatCode="dd/mm/yy">
                  <c:v>46017</c:v>
                </c:pt>
                <c:pt idx="257" c:formatCode="dd/mm/yy">
                  <c:v>46018</c:v>
                </c:pt>
                <c:pt idx="258" c:formatCode="dd/mm/yy">
                  <c:v>46019</c:v>
                </c:pt>
                <c:pt idx="259" c:formatCode="dd/mm/yy">
                  <c:v>46020</c:v>
                </c:pt>
                <c:pt idx="260" c:formatCode="dd/mm/yy">
                  <c:v>46021</c:v>
                </c:pt>
                <c:pt idx="261" c:formatCode="dd/mm/yy">
                  <c:v>46022</c:v>
                </c:pt>
                <c:pt idx="262" c:formatCode="dd/mm/yy">
                  <c:v>46023</c:v>
                </c:pt>
                <c:pt idx="263" c:formatCode="dd/mm/yy">
                  <c:v>46024</c:v>
                </c:pt>
                <c:pt idx="264" c:formatCode="dd/mm/yy">
                  <c:v>46025</c:v>
                </c:pt>
                <c:pt idx="265" c:formatCode="dd/mm/yy">
                  <c:v>46026</c:v>
                </c:pt>
                <c:pt idx="266" c:formatCode="dd/mm/yy">
                  <c:v>46027</c:v>
                </c:pt>
                <c:pt idx="267" c:formatCode="dd/mm/yy">
                  <c:v>46028</c:v>
                </c:pt>
                <c:pt idx="268" c:formatCode="dd/mm/yy">
                  <c:v>46029</c:v>
                </c:pt>
                <c:pt idx="269" c:formatCode="dd/mm/yy">
                  <c:v>46030</c:v>
                </c:pt>
                <c:pt idx="270" c:formatCode="dd/mm/yy">
                  <c:v>46031</c:v>
                </c:pt>
                <c:pt idx="271" c:formatCode="dd/mm/yy">
                  <c:v>46032</c:v>
                </c:pt>
                <c:pt idx="272" c:formatCode="dd/mm/yy">
                  <c:v>46033</c:v>
                </c:pt>
                <c:pt idx="273" c:formatCode="dd/mm/yy">
                  <c:v>46034</c:v>
                </c:pt>
                <c:pt idx="274" c:formatCode="dd/mm/yy">
                  <c:v>46035</c:v>
                </c:pt>
                <c:pt idx="275" c:formatCode="dd/mm/yy">
                  <c:v>46036</c:v>
                </c:pt>
                <c:pt idx="276" c:formatCode="dd/mm/yy">
                  <c:v>46037</c:v>
                </c:pt>
                <c:pt idx="277" c:formatCode="dd/mm/yy">
                  <c:v>46038</c:v>
                </c:pt>
                <c:pt idx="278" c:formatCode="dd/mm/yy">
                  <c:v>46039</c:v>
                </c:pt>
                <c:pt idx="279" c:formatCode="dd/mm/yy">
                  <c:v>46040</c:v>
                </c:pt>
                <c:pt idx="280" c:formatCode="dd/mm/yy">
                  <c:v>46041</c:v>
                </c:pt>
                <c:pt idx="281" c:formatCode="dd/mm/yy">
                  <c:v>46042</c:v>
                </c:pt>
                <c:pt idx="282" c:formatCode="dd/mm/yy">
                  <c:v>46043</c:v>
                </c:pt>
                <c:pt idx="283" c:formatCode="dd/mm/yy">
                  <c:v>46044</c:v>
                </c:pt>
                <c:pt idx="284" c:formatCode="dd/mm/yy">
                  <c:v>46045</c:v>
                </c:pt>
                <c:pt idx="285" c:formatCode="dd/mm/yy">
                  <c:v>46046</c:v>
                </c:pt>
                <c:pt idx="286" c:formatCode="dd/mm/yy">
                  <c:v>46047</c:v>
                </c:pt>
                <c:pt idx="287" c:formatCode="dd/mm/yy">
                  <c:v>46048</c:v>
                </c:pt>
                <c:pt idx="288" c:formatCode="dd/mm/yy">
                  <c:v>46049</c:v>
                </c:pt>
                <c:pt idx="289" c:formatCode="dd/mm/yy">
                  <c:v>46050</c:v>
                </c:pt>
                <c:pt idx="290" c:formatCode="dd/mm/yy">
                  <c:v>46051</c:v>
                </c:pt>
                <c:pt idx="291" c:formatCode="dd/mm/yy">
                  <c:v>46052</c:v>
                </c:pt>
                <c:pt idx="292" c:formatCode="dd/mm/yy">
                  <c:v>46053</c:v>
                </c:pt>
                <c:pt idx="293" c:formatCode="dd/mm/yy">
                  <c:v>46054</c:v>
                </c:pt>
                <c:pt idx="294" c:formatCode="dd/mm/yy">
                  <c:v>46055</c:v>
                </c:pt>
                <c:pt idx="295" c:formatCode="dd/mm/yy">
                  <c:v>46056</c:v>
                </c:pt>
                <c:pt idx="296" c:formatCode="dd/mm/yy">
                  <c:v>46057</c:v>
                </c:pt>
                <c:pt idx="297" c:formatCode="dd/mm/yy">
                  <c:v>46058</c:v>
                </c:pt>
                <c:pt idx="298" c:formatCode="dd/mm/yy">
                  <c:v>46059</c:v>
                </c:pt>
                <c:pt idx="299" c:formatCode="dd/mm/yy">
                  <c:v>46060</c:v>
                </c:pt>
                <c:pt idx="300" c:formatCode="dd/mm/yy">
                  <c:v>46061</c:v>
                </c:pt>
                <c:pt idx="301" c:formatCode="dd/mm/yy">
                  <c:v>46062</c:v>
                </c:pt>
                <c:pt idx="302" c:formatCode="dd/mm/yy">
                  <c:v>46063</c:v>
                </c:pt>
                <c:pt idx="303" c:formatCode="dd/mm/yy">
                  <c:v>46064</c:v>
                </c:pt>
                <c:pt idx="304" c:formatCode="dd/mm/yy">
                  <c:v>46065</c:v>
                </c:pt>
                <c:pt idx="305" c:formatCode="dd/mm/yy">
                  <c:v>46066</c:v>
                </c:pt>
                <c:pt idx="306" c:formatCode="dd/mm/yy">
                  <c:v>46067</c:v>
                </c:pt>
                <c:pt idx="307" c:formatCode="dd/mm/yy">
                  <c:v>46068</c:v>
                </c:pt>
                <c:pt idx="308" c:formatCode="dd/mm/yy">
                  <c:v>46069</c:v>
                </c:pt>
                <c:pt idx="309" c:formatCode="dd/mm/yy">
                  <c:v>46070</c:v>
                </c:pt>
                <c:pt idx="310" c:formatCode="dd/mm/yy">
                  <c:v>46071</c:v>
                </c:pt>
                <c:pt idx="311" c:formatCode="dd/mm/yy">
                  <c:v>46072</c:v>
                </c:pt>
                <c:pt idx="312" c:formatCode="dd/mm/yy">
                  <c:v>46073</c:v>
                </c:pt>
                <c:pt idx="313" c:formatCode="dd/mm/yy">
                  <c:v>46074</c:v>
                </c:pt>
                <c:pt idx="314" c:formatCode="dd/mm/yy">
                  <c:v>46075</c:v>
                </c:pt>
                <c:pt idx="315" c:formatCode="dd/mm/yy">
                  <c:v>46076</c:v>
                </c:pt>
                <c:pt idx="316" c:formatCode="dd/mm/yy">
                  <c:v>46077</c:v>
                </c:pt>
                <c:pt idx="317" c:formatCode="dd/mm/yy">
                  <c:v>46078</c:v>
                </c:pt>
                <c:pt idx="318" c:formatCode="dd/mm/yy">
                  <c:v>46079</c:v>
                </c:pt>
              </c:numCache>
            </c:numRef>
          </c:cat>
          <c:val>
            <c:numRef>
              <c:f>Sheet1!$D$2:$D$320</c:f>
              <c:numCache>
                <c:formatCode>General</c:formatCode>
                <c:ptCount val="319"/>
                <c:pt idx="0">
                  <c:v>1.75</c:v>
                </c:pt>
                <c:pt idx="1">
                  <c:v>2.25</c:v>
                </c:pt>
                <c:pt idx="2">
                  <c:v>7.93</c:v>
                </c:pt>
                <c:pt idx="3">
                  <c:v>8.03</c:v>
                </c:pt>
                <c:pt idx="4">
                  <c:v>8.03</c:v>
                </c:pt>
                <c:pt idx="5">
                  <c:v>8.03</c:v>
                </c:pt>
                <c:pt idx="6">
                  <c:v>8.03</c:v>
                </c:pt>
                <c:pt idx="7">
                  <c:v>8.03</c:v>
                </c:pt>
                <c:pt idx="8">
                  <c:v>8.03</c:v>
                </c:pt>
                <c:pt idx="9">
                  <c:v>8.03</c:v>
                </c:pt>
                <c:pt idx="10">
                  <c:v>8.03</c:v>
                </c:pt>
                <c:pt idx="11">
                  <c:v>8.03</c:v>
                </c:pt>
                <c:pt idx="12">
                  <c:v>8.03</c:v>
                </c:pt>
                <c:pt idx="13">
                  <c:v>8.03</c:v>
                </c:pt>
                <c:pt idx="14">
                  <c:v>8.03</c:v>
                </c:pt>
                <c:pt idx="15">
                  <c:v>8.03</c:v>
                </c:pt>
                <c:pt idx="16">
                  <c:v>8.08</c:v>
                </c:pt>
                <c:pt idx="17">
                  <c:v>8.08</c:v>
                </c:pt>
                <c:pt idx="18">
                  <c:v>8.08</c:v>
                </c:pt>
                <c:pt idx="19">
                  <c:v>8.08</c:v>
                </c:pt>
                <c:pt idx="20">
                  <c:v>8.08</c:v>
                </c:pt>
                <c:pt idx="21">
                  <c:v>8.08</c:v>
                </c:pt>
                <c:pt idx="22">
                  <c:v>8.09</c:v>
                </c:pt>
                <c:pt idx="23">
                  <c:v>8.29</c:v>
                </c:pt>
                <c:pt idx="24">
                  <c:v>8.29</c:v>
                </c:pt>
                <c:pt idx="25">
                  <c:v>8.29</c:v>
                </c:pt>
                <c:pt idx="26">
                  <c:v>8.29</c:v>
                </c:pt>
                <c:pt idx="27">
                  <c:v>8.31</c:v>
                </c:pt>
                <c:pt idx="28">
                  <c:v>8.91</c:v>
                </c:pt>
                <c:pt idx="29">
                  <c:v>8.91</c:v>
                </c:pt>
                <c:pt idx="30">
                  <c:v>8.91</c:v>
                </c:pt>
                <c:pt idx="31">
                  <c:v>8.91</c:v>
                </c:pt>
                <c:pt idx="32">
                  <c:v>8.92</c:v>
                </c:pt>
                <c:pt idx="33">
                  <c:v>8.92</c:v>
                </c:pt>
                <c:pt idx="34">
                  <c:v>8.92</c:v>
                </c:pt>
                <c:pt idx="35">
                  <c:v>8.92</c:v>
                </c:pt>
                <c:pt idx="36">
                  <c:v>8.92</c:v>
                </c:pt>
                <c:pt idx="37">
                  <c:v>8.92</c:v>
                </c:pt>
                <c:pt idx="38">
                  <c:v>10.18</c:v>
                </c:pt>
                <c:pt idx="39">
                  <c:v>14.18</c:v>
                </c:pt>
                <c:pt idx="40">
                  <c:v>14.18</c:v>
                </c:pt>
                <c:pt idx="41">
                  <c:v>14.18</c:v>
                </c:pt>
                <c:pt idx="42">
                  <c:v>14.18</c:v>
                </c:pt>
                <c:pt idx="43">
                  <c:v>14.18</c:v>
                </c:pt>
                <c:pt idx="44">
                  <c:v>14.18</c:v>
                </c:pt>
                <c:pt idx="45">
                  <c:v>14.18</c:v>
                </c:pt>
                <c:pt idx="46">
                  <c:v>14.18</c:v>
                </c:pt>
                <c:pt idx="47">
                  <c:v>14.18</c:v>
                </c:pt>
                <c:pt idx="48">
                  <c:v>14.18</c:v>
                </c:pt>
                <c:pt idx="49">
                  <c:v>14.18</c:v>
                </c:pt>
                <c:pt idx="50">
                  <c:v>14.18</c:v>
                </c:pt>
                <c:pt idx="51">
                  <c:v>14.18</c:v>
                </c:pt>
                <c:pt idx="52">
                  <c:v>14.18</c:v>
                </c:pt>
                <c:pt idx="53">
                  <c:v>14.18</c:v>
                </c:pt>
                <c:pt idx="54">
                  <c:v>14.18</c:v>
                </c:pt>
                <c:pt idx="55">
                  <c:v>14.18</c:v>
                </c:pt>
                <c:pt idx="56">
                  <c:v>14.18</c:v>
                </c:pt>
                <c:pt idx="57">
                  <c:v>14.18</c:v>
                </c:pt>
                <c:pt idx="58">
                  <c:v>14.18</c:v>
                </c:pt>
                <c:pt idx="59">
                  <c:v>14.18</c:v>
                </c:pt>
                <c:pt idx="60">
                  <c:v>14.18</c:v>
                </c:pt>
                <c:pt idx="61">
                  <c:v>14.18</c:v>
                </c:pt>
                <c:pt idx="62">
                  <c:v>14.18</c:v>
                </c:pt>
                <c:pt idx="63">
                  <c:v>14.18</c:v>
                </c:pt>
                <c:pt idx="64">
                  <c:v>14.18</c:v>
                </c:pt>
                <c:pt idx="65">
                  <c:v>14.18</c:v>
                </c:pt>
                <c:pt idx="66">
                  <c:v>14.18</c:v>
                </c:pt>
                <c:pt idx="67">
                  <c:v>14.18</c:v>
                </c:pt>
                <c:pt idx="68">
                  <c:v>14.18</c:v>
                </c:pt>
                <c:pt idx="69">
                  <c:v>14.18</c:v>
                </c:pt>
                <c:pt idx="70">
                  <c:v>14.18</c:v>
                </c:pt>
                <c:pt idx="71">
                  <c:v>14.18</c:v>
                </c:pt>
                <c:pt idx="72">
                  <c:v>14.18</c:v>
                </c:pt>
                <c:pt idx="73">
                  <c:v>14.18</c:v>
                </c:pt>
                <c:pt idx="74">
                  <c:v>14.18</c:v>
                </c:pt>
                <c:pt idx="75">
                  <c:v>14.18</c:v>
                </c:pt>
                <c:pt idx="76">
                  <c:v>14.18</c:v>
                </c:pt>
                <c:pt idx="77">
                  <c:v>14.18</c:v>
                </c:pt>
                <c:pt idx="78">
                  <c:v>14.18</c:v>
                </c:pt>
                <c:pt idx="79">
                  <c:v>14.18</c:v>
                </c:pt>
                <c:pt idx="80">
                  <c:v>14.18</c:v>
                </c:pt>
                <c:pt idx="81">
                  <c:v>14.18</c:v>
                </c:pt>
                <c:pt idx="82">
                  <c:v>14.18</c:v>
                </c:pt>
                <c:pt idx="83">
                  <c:v>14.18</c:v>
                </c:pt>
                <c:pt idx="84">
                  <c:v>14.18</c:v>
                </c:pt>
                <c:pt idx="85">
                  <c:v>14.18</c:v>
                </c:pt>
                <c:pt idx="86">
                  <c:v>14.18</c:v>
                </c:pt>
                <c:pt idx="87">
                  <c:v>14.18</c:v>
                </c:pt>
                <c:pt idx="88">
                  <c:v>14.18</c:v>
                </c:pt>
                <c:pt idx="89">
                  <c:v>14.18</c:v>
                </c:pt>
                <c:pt idx="90">
                  <c:v>14.18</c:v>
                </c:pt>
                <c:pt idx="91">
                  <c:v>14.18</c:v>
                </c:pt>
                <c:pt idx="92">
                  <c:v>14.18</c:v>
                </c:pt>
                <c:pt idx="93">
                  <c:v>14.18</c:v>
                </c:pt>
                <c:pt idx="94">
                  <c:v>14.18</c:v>
                </c:pt>
                <c:pt idx="95">
                  <c:v>14.18</c:v>
                </c:pt>
                <c:pt idx="96">
                  <c:v>14.18</c:v>
                </c:pt>
                <c:pt idx="97">
                  <c:v>14.18</c:v>
                </c:pt>
                <c:pt idx="98">
                  <c:v>14.18</c:v>
                </c:pt>
                <c:pt idx="99">
                  <c:v>14.18</c:v>
                </c:pt>
                <c:pt idx="100">
                  <c:v>14.18</c:v>
                </c:pt>
                <c:pt idx="101">
                  <c:v>14.18</c:v>
                </c:pt>
                <c:pt idx="102">
                  <c:v>14.18</c:v>
                </c:pt>
                <c:pt idx="103">
                  <c:v>14.18</c:v>
                </c:pt>
                <c:pt idx="104">
                  <c:v>14.18</c:v>
                </c:pt>
                <c:pt idx="105">
                  <c:v>14.18</c:v>
                </c:pt>
                <c:pt idx="106">
                  <c:v>14.18</c:v>
                </c:pt>
                <c:pt idx="107">
                  <c:v>14.18</c:v>
                </c:pt>
                <c:pt idx="108">
                  <c:v>14.18</c:v>
                </c:pt>
                <c:pt idx="109">
                  <c:v>14.18</c:v>
                </c:pt>
                <c:pt idx="110">
                  <c:v>14.18</c:v>
                </c:pt>
                <c:pt idx="111">
                  <c:v>14.18</c:v>
                </c:pt>
                <c:pt idx="112">
                  <c:v>14.18</c:v>
                </c:pt>
                <c:pt idx="113">
                  <c:v>14.18</c:v>
                </c:pt>
                <c:pt idx="114">
                  <c:v>14.18</c:v>
                </c:pt>
                <c:pt idx="115">
                  <c:v>14.18</c:v>
                </c:pt>
                <c:pt idx="116">
                  <c:v>14.18</c:v>
                </c:pt>
                <c:pt idx="117">
                  <c:v>14.18</c:v>
                </c:pt>
                <c:pt idx="118">
                  <c:v>14.18</c:v>
                </c:pt>
                <c:pt idx="119">
                  <c:v>14.18</c:v>
                </c:pt>
                <c:pt idx="120">
                  <c:v>14.18</c:v>
                </c:pt>
                <c:pt idx="121">
                  <c:v>14.68</c:v>
                </c:pt>
                <c:pt idx="122">
                  <c:v>14.69</c:v>
                </c:pt>
                <c:pt idx="123">
                  <c:v>14.7</c:v>
                </c:pt>
                <c:pt idx="124">
                  <c:v>14.7</c:v>
                </c:pt>
                <c:pt idx="125">
                  <c:v>14.7</c:v>
                </c:pt>
                <c:pt idx="126">
                  <c:v>14.7</c:v>
                </c:pt>
                <c:pt idx="127">
                  <c:v>14.7</c:v>
                </c:pt>
                <c:pt idx="128">
                  <c:v>14.7</c:v>
                </c:pt>
                <c:pt idx="129">
                  <c:v>14.7</c:v>
                </c:pt>
                <c:pt idx="130">
                  <c:v>14.7</c:v>
                </c:pt>
                <c:pt idx="131">
                  <c:v>14.7</c:v>
                </c:pt>
                <c:pt idx="132">
                  <c:v>14.7</c:v>
                </c:pt>
                <c:pt idx="133">
                  <c:v>14.7</c:v>
                </c:pt>
                <c:pt idx="134">
                  <c:v>14.7</c:v>
                </c:pt>
                <c:pt idx="135">
                  <c:v>14.7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14.7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14.7</c:v>
                </c:pt>
                <c:pt idx="173">
                  <c:v>14.7</c:v>
                </c:pt>
                <c:pt idx="174">
                  <c:v>14.7</c:v>
                </c:pt>
                <c:pt idx="175">
                  <c:v>14.7</c:v>
                </c:pt>
                <c:pt idx="176">
                  <c:v>14.7</c:v>
                </c:pt>
                <c:pt idx="177">
                  <c:v>14.7</c:v>
                </c:pt>
                <c:pt idx="178">
                  <c:v>14.7</c:v>
                </c:pt>
                <c:pt idx="179">
                  <c:v>14.7</c:v>
                </c:pt>
                <c:pt idx="180">
                  <c:v>14.7</c:v>
                </c:pt>
                <c:pt idx="181">
                  <c:v>14.7</c:v>
                </c:pt>
                <c:pt idx="182">
                  <c:v>14.7</c:v>
                </c:pt>
                <c:pt idx="183">
                  <c:v>14.7</c:v>
                </c:pt>
                <c:pt idx="184">
                  <c:v>14.7</c:v>
                </c:pt>
                <c:pt idx="185">
                  <c:v>14.7</c:v>
                </c:pt>
                <c:pt idx="186">
                  <c:v>14.7</c:v>
                </c:pt>
                <c:pt idx="187">
                  <c:v>14.7</c:v>
                </c:pt>
                <c:pt idx="188">
                  <c:v>14.7</c:v>
                </c:pt>
                <c:pt idx="189">
                  <c:v>14.7</c:v>
                </c:pt>
                <c:pt idx="190">
                  <c:v>14.7</c:v>
                </c:pt>
                <c:pt idx="191">
                  <c:v>14.7</c:v>
                </c:pt>
                <c:pt idx="192">
                  <c:v>14.7</c:v>
                </c:pt>
                <c:pt idx="193">
                  <c:v>14.7</c:v>
                </c:pt>
                <c:pt idx="194">
                  <c:v>14.7</c:v>
                </c:pt>
                <c:pt idx="195">
                  <c:v>14.7</c:v>
                </c:pt>
                <c:pt idx="196">
                  <c:v>14.7</c:v>
                </c:pt>
                <c:pt idx="197">
                  <c:v>14.7</c:v>
                </c:pt>
                <c:pt idx="198">
                  <c:v>14.7</c:v>
                </c:pt>
                <c:pt idx="199">
                  <c:v>14.7</c:v>
                </c:pt>
                <c:pt idx="200">
                  <c:v>14.7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14.7</c:v>
                </c:pt>
                <c:pt idx="206">
                  <c:v>14.7</c:v>
                </c:pt>
                <c:pt idx="207">
                  <c:v>14.7</c:v>
                </c:pt>
                <c:pt idx="208">
                  <c:v>14.7</c:v>
                </c:pt>
                <c:pt idx="209">
                  <c:v>14.7</c:v>
                </c:pt>
                <c:pt idx="210">
                  <c:v>14.7</c:v>
                </c:pt>
                <c:pt idx="211">
                  <c:v>14.7</c:v>
                </c:pt>
                <c:pt idx="212">
                  <c:v>14.7</c:v>
                </c:pt>
                <c:pt idx="213">
                  <c:v>14.7</c:v>
                </c:pt>
                <c:pt idx="214">
                  <c:v>14.7</c:v>
                </c:pt>
                <c:pt idx="215">
                  <c:v>14.7</c:v>
                </c:pt>
                <c:pt idx="216">
                  <c:v>14.7</c:v>
                </c:pt>
                <c:pt idx="217">
                  <c:v>14.7</c:v>
                </c:pt>
                <c:pt idx="218">
                  <c:v>14.7</c:v>
                </c:pt>
                <c:pt idx="219">
                  <c:v>14.7</c:v>
                </c:pt>
                <c:pt idx="220">
                  <c:v>14.7</c:v>
                </c:pt>
                <c:pt idx="221">
                  <c:v>14.7</c:v>
                </c:pt>
                <c:pt idx="222">
                  <c:v>14.7</c:v>
                </c:pt>
                <c:pt idx="223">
                  <c:v>14.7</c:v>
                </c:pt>
                <c:pt idx="224">
                  <c:v>14.7</c:v>
                </c:pt>
                <c:pt idx="225">
                  <c:v>14.7</c:v>
                </c:pt>
                <c:pt idx="226">
                  <c:v>14.7</c:v>
                </c:pt>
                <c:pt idx="227">
                  <c:v>14.7</c:v>
                </c:pt>
                <c:pt idx="228">
                  <c:v>14.7</c:v>
                </c:pt>
                <c:pt idx="229">
                  <c:v>14.7</c:v>
                </c:pt>
                <c:pt idx="230">
                  <c:v>14.7</c:v>
                </c:pt>
                <c:pt idx="231">
                  <c:v>14.7</c:v>
                </c:pt>
                <c:pt idx="232">
                  <c:v>14.7</c:v>
                </c:pt>
                <c:pt idx="233">
                  <c:v>14.7</c:v>
                </c:pt>
                <c:pt idx="234">
                  <c:v>14.7</c:v>
                </c:pt>
                <c:pt idx="235">
                  <c:v>14.7</c:v>
                </c:pt>
                <c:pt idx="236">
                  <c:v>14.7</c:v>
                </c:pt>
                <c:pt idx="237">
                  <c:v>14.7</c:v>
                </c:pt>
                <c:pt idx="238">
                  <c:v>14.7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14.7</c:v>
                </c:pt>
                <c:pt idx="256">
                  <c:v>14.7</c:v>
                </c:pt>
                <c:pt idx="257">
                  <c:v>14.7</c:v>
                </c:pt>
                <c:pt idx="258">
                  <c:v>14.7</c:v>
                </c:pt>
                <c:pt idx="259">
                  <c:v>14.7</c:v>
                </c:pt>
                <c:pt idx="260">
                  <c:v>14.7</c:v>
                </c:pt>
                <c:pt idx="261">
                  <c:v>14.7</c:v>
                </c:pt>
                <c:pt idx="262">
                  <c:v>14.7</c:v>
                </c:pt>
                <c:pt idx="263">
                  <c:v>14.7</c:v>
                </c:pt>
                <c:pt idx="264">
                  <c:v>14.7</c:v>
                </c:pt>
                <c:pt idx="265">
                  <c:v>14.7</c:v>
                </c:pt>
                <c:pt idx="266">
                  <c:v>14.7</c:v>
                </c:pt>
                <c:pt idx="267">
                  <c:v>14.7</c:v>
                </c:pt>
                <c:pt idx="268">
                  <c:v>14.7</c:v>
                </c:pt>
                <c:pt idx="269">
                  <c:v>14.7</c:v>
                </c:pt>
                <c:pt idx="270">
                  <c:v>14.7</c:v>
                </c:pt>
                <c:pt idx="271">
                  <c:v>14.7</c:v>
                </c:pt>
                <c:pt idx="272">
                  <c:v>14.7</c:v>
                </c:pt>
                <c:pt idx="273">
                  <c:v>14.7</c:v>
                </c:pt>
                <c:pt idx="274">
                  <c:v>14.7</c:v>
                </c:pt>
                <c:pt idx="275">
                  <c:v>14.7</c:v>
                </c:pt>
                <c:pt idx="276">
                  <c:v>14.7</c:v>
                </c:pt>
                <c:pt idx="277">
                  <c:v>14.7</c:v>
                </c:pt>
                <c:pt idx="278">
                  <c:v>14.7</c:v>
                </c:pt>
                <c:pt idx="279">
                  <c:v>14.7</c:v>
                </c:pt>
                <c:pt idx="280">
                  <c:v>14.7</c:v>
                </c:pt>
                <c:pt idx="281">
                  <c:v>14.7</c:v>
                </c:pt>
                <c:pt idx="282">
                  <c:v>14.7</c:v>
                </c:pt>
                <c:pt idx="283">
                  <c:v>14.7</c:v>
                </c:pt>
                <c:pt idx="284">
                  <c:v>14.7</c:v>
                </c:pt>
                <c:pt idx="285">
                  <c:v>14.7</c:v>
                </c:pt>
                <c:pt idx="286">
                  <c:v>14.7</c:v>
                </c:pt>
                <c:pt idx="287">
                  <c:v>14.7</c:v>
                </c:pt>
                <c:pt idx="288">
                  <c:v>14.7</c:v>
                </c:pt>
                <c:pt idx="289">
                  <c:v>14.7</c:v>
                </c:pt>
                <c:pt idx="290">
                  <c:v>14.7</c:v>
                </c:pt>
                <c:pt idx="291">
                  <c:v>14.7</c:v>
                </c:pt>
                <c:pt idx="292">
                  <c:v>14.7</c:v>
                </c:pt>
                <c:pt idx="293">
                  <c:v>14.7</c:v>
                </c:pt>
                <c:pt idx="294">
                  <c:v>14.7</c:v>
                </c:pt>
                <c:pt idx="295">
                  <c:v>14.7</c:v>
                </c:pt>
                <c:pt idx="296">
                  <c:v>15.2</c:v>
                </c:pt>
                <c:pt idx="297">
                  <c:v>15.2</c:v>
                </c:pt>
                <c:pt idx="298">
                  <c:v>15.2</c:v>
                </c:pt>
                <c:pt idx="299">
                  <c:v>15.2</c:v>
                </c:pt>
                <c:pt idx="300">
                  <c:v>15.25</c:v>
                </c:pt>
                <c:pt idx="301">
                  <c:v>15.25</c:v>
                </c:pt>
                <c:pt idx="302">
                  <c:v>15.25</c:v>
                </c:pt>
                <c:pt idx="303">
                  <c:v>15.25</c:v>
                </c:pt>
                <c:pt idx="304">
                  <c:v>15.25</c:v>
                </c:pt>
                <c:pt idx="305">
                  <c:v>15.25</c:v>
                </c:pt>
                <c:pt idx="306">
                  <c:v>15.25</c:v>
                </c:pt>
                <c:pt idx="307">
                  <c:v>15.25</c:v>
                </c:pt>
                <c:pt idx="308">
                  <c:v>15.25</c:v>
                </c:pt>
                <c:pt idx="309">
                  <c:v>15.25</c:v>
                </c:pt>
                <c:pt idx="310">
                  <c:v>15.25</c:v>
                </c:pt>
                <c:pt idx="311">
                  <c:v>15.25</c:v>
                </c:pt>
                <c:pt idx="312">
                  <c:v>15.25</c:v>
                </c:pt>
                <c:pt idx="313">
                  <c:v>15.25</c:v>
                </c:pt>
                <c:pt idx="314">
                  <c:v>15.25</c:v>
                </c:pt>
                <c:pt idx="315">
                  <c:v>15.35</c:v>
                </c:pt>
                <c:pt idx="316">
                  <c:v>15.35</c:v>
                </c:pt>
                <c:pt idx="317">
                  <c:v>15.35</c:v>
                </c:pt>
                <c:pt idx="318">
                  <c:v>15.35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034688"/>
        <c:axId val="82075008"/>
      </c:lineChart>
      <c:dateAx>
        <c:axId val="820346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date</a:t>
                </a:r>
                <a:endParaRPr lang="fr-F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dd/mm/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2075008"/>
        <c:crosses val="autoZero"/>
        <c:auto val="1"/>
        <c:lblOffset val="100"/>
        <c:baseTimeUnit val="days"/>
      </c:dateAx>
      <c:valAx>
        <c:axId val="8207500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cross"/>
        <c:minorTickMark val="cross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203468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a4a5bb-44b4-4a43-8d8d-8a527662f14d}"/>
      </c:ext>
    </c:extLst>
  </c:chart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ja-JP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recettes, dépenses and total par jour</a:t>
            </a:r>
            <a:endParaRPr lang="fr-F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recettes</c:v>
                </c:pt>
              </c:strCache>
            </c:strRef>
          </c:tx>
          <c:spPr>
            <a:ln w="19050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Sheet1!$A$2:$A$320</c:f>
              <c:numCache>
                <c:formatCode>dd/mm/yy</c:formatCode>
                <c:ptCount val="319"/>
                <c:pt idx="0" c:formatCode="dd/mm/yy">
                  <c:v>45761</c:v>
                </c:pt>
                <c:pt idx="1" c:formatCode="dd/mm/yy">
                  <c:v>45762</c:v>
                </c:pt>
                <c:pt idx="2" c:formatCode="dd/mm/yy">
                  <c:v>45763</c:v>
                </c:pt>
                <c:pt idx="3" c:formatCode="dd/mm/yy">
                  <c:v>45764</c:v>
                </c:pt>
                <c:pt idx="4" c:formatCode="dd/mm/yy">
                  <c:v>45765</c:v>
                </c:pt>
                <c:pt idx="5" c:formatCode="dd/mm/yy">
                  <c:v>45766</c:v>
                </c:pt>
                <c:pt idx="6" c:formatCode="dd/mm/yy">
                  <c:v>45767</c:v>
                </c:pt>
                <c:pt idx="7" c:formatCode="dd/mm/yy">
                  <c:v>45768</c:v>
                </c:pt>
                <c:pt idx="8" c:formatCode="dd/mm/yy">
                  <c:v>45769</c:v>
                </c:pt>
                <c:pt idx="9" c:formatCode="dd/mm/yy">
                  <c:v>45770</c:v>
                </c:pt>
                <c:pt idx="10" c:formatCode="dd/mm/yy">
                  <c:v>45771</c:v>
                </c:pt>
                <c:pt idx="11" c:formatCode="dd/mm/yy">
                  <c:v>45772</c:v>
                </c:pt>
                <c:pt idx="12" c:formatCode="dd/mm/yy">
                  <c:v>45773</c:v>
                </c:pt>
                <c:pt idx="13" c:formatCode="dd/mm/yy">
                  <c:v>45774</c:v>
                </c:pt>
                <c:pt idx="14" c:formatCode="dd/mm/yy">
                  <c:v>45775</c:v>
                </c:pt>
                <c:pt idx="15" c:formatCode="dd/mm/yy">
                  <c:v>45776</c:v>
                </c:pt>
                <c:pt idx="16" c:formatCode="dd/mm/yy">
                  <c:v>45777</c:v>
                </c:pt>
                <c:pt idx="17" c:formatCode="dd/mm/yy">
                  <c:v>45778</c:v>
                </c:pt>
                <c:pt idx="18" c:formatCode="dd/mm/yy">
                  <c:v>45779</c:v>
                </c:pt>
                <c:pt idx="19" c:formatCode="dd/mm/yy">
                  <c:v>45780</c:v>
                </c:pt>
                <c:pt idx="20" c:formatCode="dd/mm/yy">
                  <c:v>45781</c:v>
                </c:pt>
                <c:pt idx="21" c:formatCode="dd/mm/yy">
                  <c:v>45782</c:v>
                </c:pt>
                <c:pt idx="22" c:formatCode="dd/mm/yy">
                  <c:v>45783</c:v>
                </c:pt>
                <c:pt idx="23" c:formatCode="dd/mm/yy">
                  <c:v>45784</c:v>
                </c:pt>
                <c:pt idx="24" c:formatCode="dd/mm/yy">
                  <c:v>45785</c:v>
                </c:pt>
                <c:pt idx="25" c:formatCode="dd/mm/yy">
                  <c:v>45786</c:v>
                </c:pt>
                <c:pt idx="26" c:formatCode="dd/mm/yy">
                  <c:v>45787</c:v>
                </c:pt>
                <c:pt idx="27" c:formatCode="dd/mm/yy">
                  <c:v>45788</c:v>
                </c:pt>
                <c:pt idx="28" c:formatCode="dd/mm/yy">
                  <c:v>45789</c:v>
                </c:pt>
                <c:pt idx="29" c:formatCode="dd/mm/yy">
                  <c:v>45790</c:v>
                </c:pt>
                <c:pt idx="30" c:formatCode="dd/mm/yy">
                  <c:v>45791</c:v>
                </c:pt>
                <c:pt idx="31" c:formatCode="dd/mm/yy">
                  <c:v>45792</c:v>
                </c:pt>
                <c:pt idx="32" c:formatCode="dd/mm/yy">
                  <c:v>45793</c:v>
                </c:pt>
                <c:pt idx="33" c:formatCode="dd/mm/yy">
                  <c:v>45794</c:v>
                </c:pt>
                <c:pt idx="34" c:formatCode="dd/mm/yy">
                  <c:v>45795</c:v>
                </c:pt>
                <c:pt idx="35" c:formatCode="dd/mm/yy">
                  <c:v>45796</c:v>
                </c:pt>
                <c:pt idx="36" c:formatCode="dd/mm/yy">
                  <c:v>45797</c:v>
                </c:pt>
                <c:pt idx="37" c:formatCode="dd/mm/yy">
                  <c:v>45798</c:v>
                </c:pt>
                <c:pt idx="38" c:formatCode="dd/mm/yy">
                  <c:v>45799</c:v>
                </c:pt>
                <c:pt idx="39" c:formatCode="dd/mm/yy">
                  <c:v>45800</c:v>
                </c:pt>
                <c:pt idx="40" c:formatCode="dd/mm/yy">
                  <c:v>45801</c:v>
                </c:pt>
                <c:pt idx="41" c:formatCode="dd/mm/yy">
                  <c:v>45802</c:v>
                </c:pt>
                <c:pt idx="42" c:formatCode="dd/mm/yy">
                  <c:v>45803</c:v>
                </c:pt>
                <c:pt idx="43" c:formatCode="dd/mm/yy">
                  <c:v>45804</c:v>
                </c:pt>
                <c:pt idx="44" c:formatCode="dd/mm/yy">
                  <c:v>45805</c:v>
                </c:pt>
                <c:pt idx="45" c:formatCode="dd/mm/yy">
                  <c:v>45806</c:v>
                </c:pt>
                <c:pt idx="46" c:formatCode="dd/mm/yy">
                  <c:v>45807</c:v>
                </c:pt>
                <c:pt idx="47" c:formatCode="dd/mm/yy">
                  <c:v>45808</c:v>
                </c:pt>
                <c:pt idx="48" c:formatCode="dd/mm/yy">
                  <c:v>45809</c:v>
                </c:pt>
                <c:pt idx="49" c:formatCode="dd/mm/yy">
                  <c:v>45810</c:v>
                </c:pt>
                <c:pt idx="50" c:formatCode="dd/mm/yy">
                  <c:v>45811</c:v>
                </c:pt>
                <c:pt idx="51" c:formatCode="dd/mm/yy">
                  <c:v>45812</c:v>
                </c:pt>
                <c:pt idx="52" c:formatCode="dd/mm/yy">
                  <c:v>45813</c:v>
                </c:pt>
                <c:pt idx="53" c:formatCode="dd/mm/yy">
                  <c:v>45814</c:v>
                </c:pt>
                <c:pt idx="54" c:formatCode="dd/mm/yy">
                  <c:v>45815</c:v>
                </c:pt>
                <c:pt idx="55" c:formatCode="dd/mm/yy">
                  <c:v>45816</c:v>
                </c:pt>
                <c:pt idx="56" c:formatCode="dd/mm/yy">
                  <c:v>45817</c:v>
                </c:pt>
                <c:pt idx="57" c:formatCode="dd/mm/yy">
                  <c:v>45818</c:v>
                </c:pt>
                <c:pt idx="58" c:formatCode="dd/mm/yy">
                  <c:v>45819</c:v>
                </c:pt>
                <c:pt idx="59" c:formatCode="dd/mm/yy">
                  <c:v>45820</c:v>
                </c:pt>
                <c:pt idx="60" c:formatCode="dd/mm/yy">
                  <c:v>45821</c:v>
                </c:pt>
                <c:pt idx="61" c:formatCode="dd/mm/yy">
                  <c:v>45822</c:v>
                </c:pt>
                <c:pt idx="62" c:formatCode="dd/mm/yy">
                  <c:v>45823</c:v>
                </c:pt>
                <c:pt idx="63" c:formatCode="dd/mm/yy">
                  <c:v>45824</c:v>
                </c:pt>
                <c:pt idx="64" c:formatCode="dd/mm/yy">
                  <c:v>45825</c:v>
                </c:pt>
                <c:pt idx="65" c:formatCode="dd/mm/yy">
                  <c:v>45826</c:v>
                </c:pt>
                <c:pt idx="66" c:formatCode="dd/mm/yy">
                  <c:v>45827</c:v>
                </c:pt>
                <c:pt idx="67" c:formatCode="dd/mm/yy">
                  <c:v>45828</c:v>
                </c:pt>
                <c:pt idx="68" c:formatCode="dd/mm/yy">
                  <c:v>45829</c:v>
                </c:pt>
                <c:pt idx="69" c:formatCode="dd/mm/yy">
                  <c:v>45830</c:v>
                </c:pt>
                <c:pt idx="70" c:formatCode="dd/mm/yy">
                  <c:v>45831</c:v>
                </c:pt>
                <c:pt idx="71" c:formatCode="dd/mm/yy">
                  <c:v>45832</c:v>
                </c:pt>
                <c:pt idx="72" c:formatCode="dd/mm/yy">
                  <c:v>45833</c:v>
                </c:pt>
                <c:pt idx="73" c:formatCode="dd/mm/yy">
                  <c:v>45834</c:v>
                </c:pt>
                <c:pt idx="74" c:formatCode="dd/mm/yy">
                  <c:v>45835</c:v>
                </c:pt>
                <c:pt idx="75" c:formatCode="dd/mm/yy">
                  <c:v>45836</c:v>
                </c:pt>
                <c:pt idx="76" c:formatCode="dd/mm/yy">
                  <c:v>45837</c:v>
                </c:pt>
                <c:pt idx="77" c:formatCode="dd/mm/yy">
                  <c:v>45838</c:v>
                </c:pt>
                <c:pt idx="78" c:formatCode="dd/mm/yy">
                  <c:v>45839</c:v>
                </c:pt>
                <c:pt idx="79" c:formatCode="dd/mm/yy">
                  <c:v>45840</c:v>
                </c:pt>
                <c:pt idx="80" c:formatCode="dd/mm/yy">
                  <c:v>45841</c:v>
                </c:pt>
                <c:pt idx="81" c:formatCode="dd/mm/yy">
                  <c:v>45842</c:v>
                </c:pt>
                <c:pt idx="82" c:formatCode="dd/mm/yy">
                  <c:v>45843</c:v>
                </c:pt>
                <c:pt idx="83" c:formatCode="dd/mm/yy">
                  <c:v>45844</c:v>
                </c:pt>
                <c:pt idx="84" c:formatCode="dd/mm/yy">
                  <c:v>45845</c:v>
                </c:pt>
                <c:pt idx="85" c:formatCode="dd/mm/yy">
                  <c:v>45846</c:v>
                </c:pt>
                <c:pt idx="86" c:formatCode="dd/mm/yy">
                  <c:v>45847</c:v>
                </c:pt>
                <c:pt idx="87" c:formatCode="dd/mm/yy">
                  <c:v>45848</c:v>
                </c:pt>
                <c:pt idx="88" c:formatCode="dd/mm/yy">
                  <c:v>45849</c:v>
                </c:pt>
                <c:pt idx="89" c:formatCode="dd/mm/yy">
                  <c:v>45850</c:v>
                </c:pt>
                <c:pt idx="90" c:formatCode="dd/mm/yy">
                  <c:v>45851</c:v>
                </c:pt>
                <c:pt idx="91" c:formatCode="dd/mm/yy">
                  <c:v>45852</c:v>
                </c:pt>
                <c:pt idx="92" c:formatCode="dd/mm/yy">
                  <c:v>45853</c:v>
                </c:pt>
                <c:pt idx="93" c:formatCode="dd/mm/yy">
                  <c:v>45854</c:v>
                </c:pt>
                <c:pt idx="94" c:formatCode="dd/mm/yy">
                  <c:v>45855</c:v>
                </c:pt>
                <c:pt idx="95" c:formatCode="dd/mm/yy">
                  <c:v>45856</c:v>
                </c:pt>
                <c:pt idx="96" c:formatCode="dd/mm/yy">
                  <c:v>45857</c:v>
                </c:pt>
                <c:pt idx="97" c:formatCode="dd/mm/yy">
                  <c:v>45858</c:v>
                </c:pt>
                <c:pt idx="98" c:formatCode="dd/mm/yy">
                  <c:v>45859</c:v>
                </c:pt>
                <c:pt idx="99" c:formatCode="dd/mm/yy">
                  <c:v>45860</c:v>
                </c:pt>
                <c:pt idx="100" c:formatCode="dd/mm/yy">
                  <c:v>45861</c:v>
                </c:pt>
                <c:pt idx="101" c:formatCode="dd/mm/yy">
                  <c:v>45862</c:v>
                </c:pt>
                <c:pt idx="102" c:formatCode="dd/mm/yy">
                  <c:v>45863</c:v>
                </c:pt>
                <c:pt idx="103" c:formatCode="dd/mm/yy">
                  <c:v>45864</c:v>
                </c:pt>
                <c:pt idx="104" c:formatCode="dd/mm/yy">
                  <c:v>45865</c:v>
                </c:pt>
                <c:pt idx="105" c:formatCode="dd/mm/yy">
                  <c:v>45866</c:v>
                </c:pt>
                <c:pt idx="106" c:formatCode="dd/mm/yy">
                  <c:v>45867</c:v>
                </c:pt>
                <c:pt idx="107" c:formatCode="dd/mm/yy">
                  <c:v>45868</c:v>
                </c:pt>
                <c:pt idx="108" c:formatCode="dd/mm/yy">
                  <c:v>45869</c:v>
                </c:pt>
                <c:pt idx="109" c:formatCode="dd/mm/yy">
                  <c:v>45870</c:v>
                </c:pt>
                <c:pt idx="110" c:formatCode="dd/mm/yy">
                  <c:v>45871</c:v>
                </c:pt>
                <c:pt idx="111" c:formatCode="dd/mm/yy">
                  <c:v>45872</c:v>
                </c:pt>
                <c:pt idx="112" c:formatCode="dd/mm/yy">
                  <c:v>45873</c:v>
                </c:pt>
                <c:pt idx="113" c:formatCode="dd/mm/yy">
                  <c:v>45874</c:v>
                </c:pt>
                <c:pt idx="114" c:formatCode="dd/mm/yy">
                  <c:v>45875</c:v>
                </c:pt>
                <c:pt idx="115" c:formatCode="dd/mm/yy">
                  <c:v>45876</c:v>
                </c:pt>
                <c:pt idx="116" c:formatCode="dd/mm/yy">
                  <c:v>45877</c:v>
                </c:pt>
                <c:pt idx="117" c:formatCode="dd/mm/yy">
                  <c:v>45878</c:v>
                </c:pt>
                <c:pt idx="118" c:formatCode="dd/mm/yy">
                  <c:v>45879</c:v>
                </c:pt>
                <c:pt idx="119" c:formatCode="dd/mm/yy">
                  <c:v>45880</c:v>
                </c:pt>
                <c:pt idx="120" c:formatCode="dd/mm/yy">
                  <c:v>45881</c:v>
                </c:pt>
                <c:pt idx="121" c:formatCode="dd/mm/yy">
                  <c:v>45882</c:v>
                </c:pt>
                <c:pt idx="122" c:formatCode="dd/mm/yy">
                  <c:v>45883</c:v>
                </c:pt>
                <c:pt idx="123" c:formatCode="dd/mm/yy">
                  <c:v>45884</c:v>
                </c:pt>
                <c:pt idx="124" c:formatCode="dd/mm/yy">
                  <c:v>45885</c:v>
                </c:pt>
                <c:pt idx="125" c:formatCode="dd/mm/yy">
                  <c:v>45886</c:v>
                </c:pt>
                <c:pt idx="126" c:formatCode="dd/mm/yy">
                  <c:v>45887</c:v>
                </c:pt>
                <c:pt idx="127" c:formatCode="dd/mm/yy">
                  <c:v>45888</c:v>
                </c:pt>
                <c:pt idx="128" c:formatCode="dd/mm/yy">
                  <c:v>45889</c:v>
                </c:pt>
                <c:pt idx="129" c:formatCode="dd/mm/yy">
                  <c:v>45890</c:v>
                </c:pt>
                <c:pt idx="130" c:formatCode="dd/mm/yy">
                  <c:v>45891</c:v>
                </c:pt>
                <c:pt idx="131" c:formatCode="dd/mm/yy">
                  <c:v>45892</c:v>
                </c:pt>
                <c:pt idx="132" c:formatCode="dd/mm/yy">
                  <c:v>45893</c:v>
                </c:pt>
                <c:pt idx="133" c:formatCode="dd/mm/yy">
                  <c:v>45894</c:v>
                </c:pt>
                <c:pt idx="134" c:formatCode="dd/mm/yy">
                  <c:v>45895</c:v>
                </c:pt>
                <c:pt idx="135" c:formatCode="dd/mm/yy">
                  <c:v>45896</c:v>
                </c:pt>
                <c:pt idx="136" c:formatCode="dd/mm/yy">
                  <c:v>45897</c:v>
                </c:pt>
                <c:pt idx="137" c:formatCode="dd/mm/yy">
                  <c:v>45898</c:v>
                </c:pt>
                <c:pt idx="138" c:formatCode="dd/mm/yy">
                  <c:v>45899</c:v>
                </c:pt>
                <c:pt idx="139" c:formatCode="dd/mm/yy">
                  <c:v>45900</c:v>
                </c:pt>
                <c:pt idx="140" c:formatCode="dd/mm/yy">
                  <c:v>45901</c:v>
                </c:pt>
                <c:pt idx="141" c:formatCode="dd/mm/yy">
                  <c:v>45902</c:v>
                </c:pt>
                <c:pt idx="142" c:formatCode="dd/mm/yy">
                  <c:v>45903</c:v>
                </c:pt>
                <c:pt idx="143" c:formatCode="dd/mm/yy">
                  <c:v>45904</c:v>
                </c:pt>
                <c:pt idx="144" c:formatCode="dd/mm/yy">
                  <c:v>45905</c:v>
                </c:pt>
                <c:pt idx="145" c:formatCode="dd/mm/yy">
                  <c:v>45906</c:v>
                </c:pt>
                <c:pt idx="146" c:formatCode="dd/mm/yy">
                  <c:v>45907</c:v>
                </c:pt>
                <c:pt idx="147" c:formatCode="dd/mm/yy">
                  <c:v>45908</c:v>
                </c:pt>
                <c:pt idx="148" c:formatCode="dd/mm/yy">
                  <c:v>45909</c:v>
                </c:pt>
                <c:pt idx="149" c:formatCode="dd/mm/yy">
                  <c:v>45910</c:v>
                </c:pt>
                <c:pt idx="150" c:formatCode="dd/mm/yy">
                  <c:v>45911</c:v>
                </c:pt>
                <c:pt idx="151" c:formatCode="dd/mm/yy">
                  <c:v>45912</c:v>
                </c:pt>
                <c:pt idx="152" c:formatCode="dd/mm/yy">
                  <c:v>45913</c:v>
                </c:pt>
                <c:pt idx="153" c:formatCode="dd/mm/yy">
                  <c:v>45914</c:v>
                </c:pt>
                <c:pt idx="154" c:formatCode="dd/mm/yy">
                  <c:v>45915</c:v>
                </c:pt>
                <c:pt idx="155" c:formatCode="dd/mm/yy">
                  <c:v>45916</c:v>
                </c:pt>
                <c:pt idx="156" c:formatCode="dd/mm/yy">
                  <c:v>45917</c:v>
                </c:pt>
                <c:pt idx="157" c:formatCode="dd/mm/yy">
                  <c:v>45918</c:v>
                </c:pt>
                <c:pt idx="158" c:formatCode="dd/mm/yy">
                  <c:v>45919</c:v>
                </c:pt>
                <c:pt idx="159" c:formatCode="dd/mm/yy">
                  <c:v>45920</c:v>
                </c:pt>
                <c:pt idx="160" c:formatCode="dd/mm/yy">
                  <c:v>45921</c:v>
                </c:pt>
                <c:pt idx="161" c:formatCode="dd/mm/yy">
                  <c:v>45922</c:v>
                </c:pt>
                <c:pt idx="162" c:formatCode="dd/mm/yy">
                  <c:v>45923</c:v>
                </c:pt>
                <c:pt idx="163" c:formatCode="dd/mm/yy">
                  <c:v>45924</c:v>
                </c:pt>
                <c:pt idx="164" c:formatCode="dd/mm/yy">
                  <c:v>45925</c:v>
                </c:pt>
                <c:pt idx="165" c:formatCode="dd/mm/yy">
                  <c:v>45926</c:v>
                </c:pt>
                <c:pt idx="166" c:formatCode="dd/mm/yy">
                  <c:v>45927</c:v>
                </c:pt>
                <c:pt idx="167" c:formatCode="dd/mm/yy">
                  <c:v>45928</c:v>
                </c:pt>
                <c:pt idx="168" c:formatCode="dd/mm/yy">
                  <c:v>45929</c:v>
                </c:pt>
                <c:pt idx="169" c:formatCode="dd/mm/yy">
                  <c:v>45930</c:v>
                </c:pt>
                <c:pt idx="170" c:formatCode="dd/mm/yy">
                  <c:v>45931</c:v>
                </c:pt>
                <c:pt idx="171" c:formatCode="dd/mm/yy">
                  <c:v>45932</c:v>
                </c:pt>
                <c:pt idx="172" c:formatCode="dd/mm/yy">
                  <c:v>45933</c:v>
                </c:pt>
                <c:pt idx="173" c:formatCode="dd/mm/yy">
                  <c:v>45934</c:v>
                </c:pt>
                <c:pt idx="174" c:formatCode="dd/mm/yy">
                  <c:v>45935</c:v>
                </c:pt>
                <c:pt idx="175" c:formatCode="dd/mm/yy">
                  <c:v>45936</c:v>
                </c:pt>
                <c:pt idx="176" c:formatCode="dd/mm/yy">
                  <c:v>45937</c:v>
                </c:pt>
                <c:pt idx="177" c:formatCode="dd/mm/yy">
                  <c:v>45938</c:v>
                </c:pt>
                <c:pt idx="178" c:formatCode="dd/mm/yy">
                  <c:v>45939</c:v>
                </c:pt>
                <c:pt idx="179" c:formatCode="dd/mm/yy">
                  <c:v>45940</c:v>
                </c:pt>
                <c:pt idx="180" c:formatCode="dd/mm/yy">
                  <c:v>45941</c:v>
                </c:pt>
                <c:pt idx="181" c:formatCode="dd/mm/yy">
                  <c:v>45942</c:v>
                </c:pt>
                <c:pt idx="182" c:formatCode="dd/mm/yy">
                  <c:v>45943</c:v>
                </c:pt>
                <c:pt idx="183" c:formatCode="dd/mm/yy">
                  <c:v>45944</c:v>
                </c:pt>
                <c:pt idx="184" c:formatCode="dd/mm/yy">
                  <c:v>45945</c:v>
                </c:pt>
                <c:pt idx="185" c:formatCode="dd/mm/yy">
                  <c:v>45946</c:v>
                </c:pt>
                <c:pt idx="186" c:formatCode="dd/mm/yy">
                  <c:v>45947</c:v>
                </c:pt>
                <c:pt idx="187" c:formatCode="dd/mm/yy">
                  <c:v>45948</c:v>
                </c:pt>
                <c:pt idx="188" c:formatCode="dd/mm/yy">
                  <c:v>45949</c:v>
                </c:pt>
                <c:pt idx="189" c:formatCode="dd/mm/yy">
                  <c:v>45950</c:v>
                </c:pt>
                <c:pt idx="190" c:formatCode="dd/mm/yy">
                  <c:v>45951</c:v>
                </c:pt>
                <c:pt idx="191" c:formatCode="dd/mm/yy">
                  <c:v>45952</c:v>
                </c:pt>
                <c:pt idx="192" c:formatCode="dd/mm/yy">
                  <c:v>45953</c:v>
                </c:pt>
                <c:pt idx="193" c:formatCode="dd/mm/yy">
                  <c:v>45954</c:v>
                </c:pt>
                <c:pt idx="194" c:formatCode="dd/mm/yy">
                  <c:v>45955</c:v>
                </c:pt>
                <c:pt idx="195" c:formatCode="dd/mm/yy">
                  <c:v>45956</c:v>
                </c:pt>
                <c:pt idx="196" c:formatCode="dd/mm/yy">
                  <c:v>45957</c:v>
                </c:pt>
                <c:pt idx="197" c:formatCode="dd/mm/yy">
                  <c:v>45958</c:v>
                </c:pt>
                <c:pt idx="198" c:formatCode="dd/mm/yy">
                  <c:v>45959</c:v>
                </c:pt>
                <c:pt idx="199" c:formatCode="dd/mm/yy">
                  <c:v>45960</c:v>
                </c:pt>
                <c:pt idx="200" c:formatCode="dd/mm/yy">
                  <c:v>45961</c:v>
                </c:pt>
                <c:pt idx="201" c:formatCode="dd/mm/yy">
                  <c:v>45962</c:v>
                </c:pt>
                <c:pt idx="202" c:formatCode="dd/mm/yy">
                  <c:v>45963</c:v>
                </c:pt>
                <c:pt idx="203" c:formatCode="dd/mm/yy">
                  <c:v>45964</c:v>
                </c:pt>
                <c:pt idx="204" c:formatCode="dd/mm/yy">
                  <c:v>45965</c:v>
                </c:pt>
                <c:pt idx="205" c:formatCode="dd/mm/yy">
                  <c:v>45966</c:v>
                </c:pt>
                <c:pt idx="206" c:formatCode="dd/mm/yy">
                  <c:v>45967</c:v>
                </c:pt>
                <c:pt idx="207" c:formatCode="dd/mm/yy">
                  <c:v>45968</c:v>
                </c:pt>
                <c:pt idx="208" c:formatCode="dd/mm/yy">
                  <c:v>45969</c:v>
                </c:pt>
                <c:pt idx="209" c:formatCode="dd/mm/yy">
                  <c:v>45970</c:v>
                </c:pt>
                <c:pt idx="210" c:formatCode="dd/mm/yy">
                  <c:v>45971</c:v>
                </c:pt>
                <c:pt idx="211" c:formatCode="dd/mm/yy">
                  <c:v>45972</c:v>
                </c:pt>
                <c:pt idx="212" c:formatCode="dd/mm/yy">
                  <c:v>45973</c:v>
                </c:pt>
                <c:pt idx="213" c:formatCode="dd/mm/yy">
                  <c:v>45974</c:v>
                </c:pt>
                <c:pt idx="214" c:formatCode="dd/mm/yy">
                  <c:v>45975</c:v>
                </c:pt>
                <c:pt idx="215" c:formatCode="dd/mm/yy">
                  <c:v>45976</c:v>
                </c:pt>
                <c:pt idx="216" c:formatCode="dd/mm/yy">
                  <c:v>45977</c:v>
                </c:pt>
                <c:pt idx="217" c:formatCode="dd/mm/yy">
                  <c:v>45978</c:v>
                </c:pt>
                <c:pt idx="218" c:formatCode="dd/mm/yy">
                  <c:v>45979</c:v>
                </c:pt>
                <c:pt idx="219" c:formatCode="dd/mm/yy">
                  <c:v>45980</c:v>
                </c:pt>
                <c:pt idx="220" c:formatCode="dd/mm/yy">
                  <c:v>45981</c:v>
                </c:pt>
                <c:pt idx="221" c:formatCode="dd/mm/yy">
                  <c:v>45982</c:v>
                </c:pt>
                <c:pt idx="222" c:formatCode="dd/mm/yy">
                  <c:v>45983</c:v>
                </c:pt>
                <c:pt idx="223" c:formatCode="dd/mm/yy">
                  <c:v>45984</c:v>
                </c:pt>
                <c:pt idx="224" c:formatCode="dd/mm/yy">
                  <c:v>45985</c:v>
                </c:pt>
                <c:pt idx="225" c:formatCode="dd/mm/yy">
                  <c:v>45986</c:v>
                </c:pt>
                <c:pt idx="226" c:formatCode="dd/mm/yy">
                  <c:v>45987</c:v>
                </c:pt>
                <c:pt idx="227" c:formatCode="dd/mm/yy">
                  <c:v>45988</c:v>
                </c:pt>
                <c:pt idx="228" c:formatCode="dd/mm/yy">
                  <c:v>45989</c:v>
                </c:pt>
                <c:pt idx="229" c:formatCode="dd/mm/yy">
                  <c:v>45990</c:v>
                </c:pt>
                <c:pt idx="230" c:formatCode="dd/mm/yy">
                  <c:v>45991</c:v>
                </c:pt>
                <c:pt idx="231" c:formatCode="dd/mm/yy">
                  <c:v>45992</c:v>
                </c:pt>
                <c:pt idx="232" c:formatCode="dd/mm/yy">
                  <c:v>45993</c:v>
                </c:pt>
                <c:pt idx="233" c:formatCode="dd/mm/yy">
                  <c:v>45994</c:v>
                </c:pt>
                <c:pt idx="234" c:formatCode="dd/mm/yy">
                  <c:v>45995</c:v>
                </c:pt>
                <c:pt idx="235" c:formatCode="dd/mm/yy">
                  <c:v>45996</c:v>
                </c:pt>
                <c:pt idx="236" c:formatCode="dd/mm/yy">
                  <c:v>45997</c:v>
                </c:pt>
                <c:pt idx="237" c:formatCode="dd/mm/yy">
                  <c:v>45998</c:v>
                </c:pt>
                <c:pt idx="238" c:formatCode="dd/mm/yy">
                  <c:v>45999</c:v>
                </c:pt>
                <c:pt idx="239" c:formatCode="dd/mm/yy">
                  <c:v>46000</c:v>
                </c:pt>
                <c:pt idx="240" c:formatCode="dd/mm/yy">
                  <c:v>46001</c:v>
                </c:pt>
                <c:pt idx="241" c:formatCode="dd/mm/yy">
                  <c:v>46002</c:v>
                </c:pt>
                <c:pt idx="242" c:formatCode="dd/mm/yy">
                  <c:v>46003</c:v>
                </c:pt>
                <c:pt idx="243" c:formatCode="dd/mm/yy">
                  <c:v>46004</c:v>
                </c:pt>
                <c:pt idx="244" c:formatCode="dd/mm/yy">
                  <c:v>46005</c:v>
                </c:pt>
                <c:pt idx="245" c:formatCode="dd/mm/yy">
                  <c:v>46006</c:v>
                </c:pt>
                <c:pt idx="246" c:formatCode="dd/mm/yy">
                  <c:v>46007</c:v>
                </c:pt>
                <c:pt idx="247" c:formatCode="dd/mm/yy">
                  <c:v>46008</c:v>
                </c:pt>
                <c:pt idx="248" c:formatCode="dd/mm/yy">
                  <c:v>46009</c:v>
                </c:pt>
                <c:pt idx="249" c:formatCode="dd/mm/yy">
                  <c:v>46010</c:v>
                </c:pt>
                <c:pt idx="250" c:formatCode="dd/mm/yy">
                  <c:v>46011</c:v>
                </c:pt>
                <c:pt idx="251" c:formatCode="dd/mm/yy">
                  <c:v>46012</c:v>
                </c:pt>
                <c:pt idx="252" c:formatCode="dd/mm/yy">
                  <c:v>46013</c:v>
                </c:pt>
                <c:pt idx="253" c:formatCode="dd/mm/yy">
                  <c:v>46014</c:v>
                </c:pt>
                <c:pt idx="254" c:formatCode="dd/mm/yy">
                  <c:v>46015</c:v>
                </c:pt>
                <c:pt idx="255" c:formatCode="dd/mm/yy">
                  <c:v>46016</c:v>
                </c:pt>
                <c:pt idx="256" c:formatCode="dd/mm/yy">
                  <c:v>46017</c:v>
                </c:pt>
                <c:pt idx="257" c:formatCode="dd/mm/yy">
                  <c:v>46018</c:v>
                </c:pt>
                <c:pt idx="258" c:formatCode="dd/mm/yy">
                  <c:v>46019</c:v>
                </c:pt>
                <c:pt idx="259" c:formatCode="dd/mm/yy">
                  <c:v>46020</c:v>
                </c:pt>
                <c:pt idx="260" c:formatCode="dd/mm/yy">
                  <c:v>46021</c:v>
                </c:pt>
                <c:pt idx="261" c:formatCode="dd/mm/yy">
                  <c:v>46022</c:v>
                </c:pt>
                <c:pt idx="262" c:formatCode="dd/mm/yy">
                  <c:v>46023</c:v>
                </c:pt>
                <c:pt idx="263" c:formatCode="dd/mm/yy">
                  <c:v>46024</c:v>
                </c:pt>
                <c:pt idx="264" c:formatCode="dd/mm/yy">
                  <c:v>46025</c:v>
                </c:pt>
                <c:pt idx="265" c:formatCode="dd/mm/yy">
                  <c:v>46026</c:v>
                </c:pt>
                <c:pt idx="266" c:formatCode="dd/mm/yy">
                  <c:v>46027</c:v>
                </c:pt>
                <c:pt idx="267" c:formatCode="dd/mm/yy">
                  <c:v>46028</c:v>
                </c:pt>
                <c:pt idx="268" c:formatCode="dd/mm/yy">
                  <c:v>46029</c:v>
                </c:pt>
                <c:pt idx="269" c:formatCode="dd/mm/yy">
                  <c:v>46030</c:v>
                </c:pt>
                <c:pt idx="270" c:formatCode="dd/mm/yy">
                  <c:v>46031</c:v>
                </c:pt>
                <c:pt idx="271" c:formatCode="dd/mm/yy">
                  <c:v>46032</c:v>
                </c:pt>
                <c:pt idx="272" c:formatCode="dd/mm/yy">
                  <c:v>46033</c:v>
                </c:pt>
                <c:pt idx="273" c:formatCode="dd/mm/yy">
                  <c:v>46034</c:v>
                </c:pt>
                <c:pt idx="274" c:formatCode="dd/mm/yy">
                  <c:v>46035</c:v>
                </c:pt>
                <c:pt idx="275" c:formatCode="dd/mm/yy">
                  <c:v>46036</c:v>
                </c:pt>
                <c:pt idx="276" c:formatCode="dd/mm/yy">
                  <c:v>46037</c:v>
                </c:pt>
                <c:pt idx="277" c:formatCode="dd/mm/yy">
                  <c:v>46038</c:v>
                </c:pt>
                <c:pt idx="278" c:formatCode="dd/mm/yy">
                  <c:v>46039</c:v>
                </c:pt>
                <c:pt idx="279" c:formatCode="dd/mm/yy">
                  <c:v>46040</c:v>
                </c:pt>
                <c:pt idx="280" c:formatCode="dd/mm/yy">
                  <c:v>46041</c:v>
                </c:pt>
                <c:pt idx="281" c:formatCode="dd/mm/yy">
                  <c:v>46042</c:v>
                </c:pt>
                <c:pt idx="282" c:formatCode="dd/mm/yy">
                  <c:v>46043</c:v>
                </c:pt>
                <c:pt idx="283" c:formatCode="dd/mm/yy">
                  <c:v>46044</c:v>
                </c:pt>
                <c:pt idx="284" c:formatCode="dd/mm/yy">
                  <c:v>46045</c:v>
                </c:pt>
                <c:pt idx="285" c:formatCode="dd/mm/yy">
                  <c:v>46046</c:v>
                </c:pt>
                <c:pt idx="286" c:formatCode="dd/mm/yy">
                  <c:v>46047</c:v>
                </c:pt>
                <c:pt idx="287" c:formatCode="dd/mm/yy">
                  <c:v>46048</c:v>
                </c:pt>
                <c:pt idx="288" c:formatCode="dd/mm/yy">
                  <c:v>46049</c:v>
                </c:pt>
                <c:pt idx="289" c:formatCode="dd/mm/yy">
                  <c:v>46050</c:v>
                </c:pt>
                <c:pt idx="290" c:formatCode="dd/mm/yy">
                  <c:v>46051</c:v>
                </c:pt>
                <c:pt idx="291" c:formatCode="dd/mm/yy">
                  <c:v>46052</c:v>
                </c:pt>
                <c:pt idx="292" c:formatCode="dd/mm/yy">
                  <c:v>46053</c:v>
                </c:pt>
                <c:pt idx="293" c:formatCode="dd/mm/yy">
                  <c:v>46054</c:v>
                </c:pt>
                <c:pt idx="294" c:formatCode="dd/mm/yy">
                  <c:v>46055</c:v>
                </c:pt>
                <c:pt idx="295" c:formatCode="dd/mm/yy">
                  <c:v>46056</c:v>
                </c:pt>
                <c:pt idx="296" c:formatCode="dd/mm/yy">
                  <c:v>46057</c:v>
                </c:pt>
                <c:pt idx="297" c:formatCode="dd/mm/yy">
                  <c:v>46058</c:v>
                </c:pt>
                <c:pt idx="298" c:formatCode="dd/mm/yy">
                  <c:v>46059</c:v>
                </c:pt>
                <c:pt idx="299" c:formatCode="dd/mm/yy">
                  <c:v>46060</c:v>
                </c:pt>
                <c:pt idx="300" c:formatCode="dd/mm/yy">
                  <c:v>46061</c:v>
                </c:pt>
                <c:pt idx="301" c:formatCode="dd/mm/yy">
                  <c:v>46062</c:v>
                </c:pt>
                <c:pt idx="302" c:formatCode="dd/mm/yy">
                  <c:v>46063</c:v>
                </c:pt>
                <c:pt idx="303" c:formatCode="dd/mm/yy">
                  <c:v>46064</c:v>
                </c:pt>
                <c:pt idx="304" c:formatCode="dd/mm/yy">
                  <c:v>46065</c:v>
                </c:pt>
                <c:pt idx="305" c:formatCode="dd/mm/yy">
                  <c:v>46066</c:v>
                </c:pt>
                <c:pt idx="306" c:formatCode="dd/mm/yy">
                  <c:v>46067</c:v>
                </c:pt>
                <c:pt idx="307" c:formatCode="dd/mm/yy">
                  <c:v>46068</c:v>
                </c:pt>
                <c:pt idx="308" c:formatCode="dd/mm/yy">
                  <c:v>46069</c:v>
                </c:pt>
                <c:pt idx="309" c:formatCode="dd/mm/yy">
                  <c:v>46070</c:v>
                </c:pt>
                <c:pt idx="310" c:formatCode="dd/mm/yy">
                  <c:v>46071</c:v>
                </c:pt>
                <c:pt idx="311" c:formatCode="dd/mm/yy">
                  <c:v>46072</c:v>
                </c:pt>
                <c:pt idx="312" c:formatCode="dd/mm/yy">
                  <c:v>46073</c:v>
                </c:pt>
                <c:pt idx="313" c:formatCode="dd/mm/yy">
                  <c:v>46074</c:v>
                </c:pt>
                <c:pt idx="314" c:formatCode="dd/mm/yy">
                  <c:v>46075</c:v>
                </c:pt>
                <c:pt idx="315" c:formatCode="dd/mm/yy">
                  <c:v>46076</c:v>
                </c:pt>
                <c:pt idx="316" c:formatCode="dd/mm/yy">
                  <c:v>46077</c:v>
                </c:pt>
                <c:pt idx="317" c:formatCode="dd/mm/yy">
                  <c:v>46078</c:v>
                </c:pt>
                <c:pt idx="318" c:formatCode="dd/mm/yy">
                  <c:v>46079</c:v>
                </c:pt>
              </c:numCache>
            </c:numRef>
          </c:cat>
          <c:val>
            <c:numRef>
              <c:f>Sheet1!$B$2:$B$320</c:f>
              <c:numCache>
                <c:formatCode>General</c:formatCode>
                <c:ptCount val="319"/>
                <c:pt idx="0">
                  <c:v>1.75</c:v>
                </c:pt>
                <c:pt idx="1">
                  <c:v>0.5</c:v>
                </c:pt>
                <c:pt idx="2">
                  <c:v>5.68</c:v>
                </c:pt>
                <c:pt idx="3">
                  <c:v>0.1</c:v>
                </c:pt>
                <c:pt idx="16">
                  <c:v>0.05</c:v>
                </c:pt>
                <c:pt idx="22">
                  <c:v>0.01</c:v>
                </c:pt>
                <c:pt idx="23">
                  <c:v>0.2</c:v>
                </c:pt>
                <c:pt idx="27">
                  <c:v>0.02</c:v>
                </c:pt>
                <c:pt idx="28">
                  <c:v>0.6</c:v>
                </c:pt>
                <c:pt idx="32">
                  <c:v>0.01</c:v>
                </c:pt>
                <c:pt idx="38">
                  <c:v>1.26</c:v>
                </c:pt>
                <c:pt idx="39">
                  <c:v>4</c:v>
                </c:pt>
                <c:pt idx="121">
                  <c:v>0.5</c:v>
                </c:pt>
                <c:pt idx="122">
                  <c:v>0.01</c:v>
                </c:pt>
                <c:pt idx="123">
                  <c:v>0.01</c:v>
                </c:pt>
                <c:pt idx="296">
                  <c:v>0.5</c:v>
                </c:pt>
                <c:pt idx="300">
                  <c:v>0.05</c:v>
                </c:pt>
                <c:pt idx="315">
                  <c:v>0.1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dépenses</c:v>
                </c:pt>
              </c:strCache>
            </c:strRef>
          </c:tx>
          <c:spPr>
            <a:ln w="19050" cap="rnd" cmpd="sng" algn="ctr">
              <a:solidFill>
                <a:srgbClr val="EA433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Sheet1!$A$2:$A$320</c:f>
              <c:numCache>
                <c:formatCode>dd/mm/yy</c:formatCode>
                <c:ptCount val="319"/>
                <c:pt idx="0" c:formatCode="dd/mm/yy">
                  <c:v>45761</c:v>
                </c:pt>
                <c:pt idx="1" c:formatCode="dd/mm/yy">
                  <c:v>45762</c:v>
                </c:pt>
                <c:pt idx="2" c:formatCode="dd/mm/yy">
                  <c:v>45763</c:v>
                </c:pt>
                <c:pt idx="3" c:formatCode="dd/mm/yy">
                  <c:v>45764</c:v>
                </c:pt>
                <c:pt idx="4" c:formatCode="dd/mm/yy">
                  <c:v>45765</c:v>
                </c:pt>
                <c:pt idx="5" c:formatCode="dd/mm/yy">
                  <c:v>45766</c:v>
                </c:pt>
                <c:pt idx="6" c:formatCode="dd/mm/yy">
                  <c:v>45767</c:v>
                </c:pt>
                <c:pt idx="7" c:formatCode="dd/mm/yy">
                  <c:v>45768</c:v>
                </c:pt>
                <c:pt idx="8" c:formatCode="dd/mm/yy">
                  <c:v>45769</c:v>
                </c:pt>
                <c:pt idx="9" c:formatCode="dd/mm/yy">
                  <c:v>45770</c:v>
                </c:pt>
                <c:pt idx="10" c:formatCode="dd/mm/yy">
                  <c:v>45771</c:v>
                </c:pt>
                <c:pt idx="11" c:formatCode="dd/mm/yy">
                  <c:v>45772</c:v>
                </c:pt>
                <c:pt idx="12" c:formatCode="dd/mm/yy">
                  <c:v>45773</c:v>
                </c:pt>
                <c:pt idx="13" c:formatCode="dd/mm/yy">
                  <c:v>45774</c:v>
                </c:pt>
                <c:pt idx="14" c:formatCode="dd/mm/yy">
                  <c:v>45775</c:v>
                </c:pt>
                <c:pt idx="15" c:formatCode="dd/mm/yy">
                  <c:v>45776</c:v>
                </c:pt>
                <c:pt idx="16" c:formatCode="dd/mm/yy">
                  <c:v>45777</c:v>
                </c:pt>
                <c:pt idx="17" c:formatCode="dd/mm/yy">
                  <c:v>45778</c:v>
                </c:pt>
                <c:pt idx="18" c:formatCode="dd/mm/yy">
                  <c:v>45779</c:v>
                </c:pt>
                <c:pt idx="19" c:formatCode="dd/mm/yy">
                  <c:v>45780</c:v>
                </c:pt>
                <c:pt idx="20" c:formatCode="dd/mm/yy">
                  <c:v>45781</c:v>
                </c:pt>
                <c:pt idx="21" c:formatCode="dd/mm/yy">
                  <c:v>45782</c:v>
                </c:pt>
                <c:pt idx="22" c:formatCode="dd/mm/yy">
                  <c:v>45783</c:v>
                </c:pt>
                <c:pt idx="23" c:formatCode="dd/mm/yy">
                  <c:v>45784</c:v>
                </c:pt>
                <c:pt idx="24" c:formatCode="dd/mm/yy">
                  <c:v>45785</c:v>
                </c:pt>
                <c:pt idx="25" c:formatCode="dd/mm/yy">
                  <c:v>45786</c:v>
                </c:pt>
                <c:pt idx="26" c:formatCode="dd/mm/yy">
                  <c:v>45787</c:v>
                </c:pt>
                <c:pt idx="27" c:formatCode="dd/mm/yy">
                  <c:v>45788</c:v>
                </c:pt>
                <c:pt idx="28" c:formatCode="dd/mm/yy">
                  <c:v>45789</c:v>
                </c:pt>
                <c:pt idx="29" c:formatCode="dd/mm/yy">
                  <c:v>45790</c:v>
                </c:pt>
                <c:pt idx="30" c:formatCode="dd/mm/yy">
                  <c:v>45791</c:v>
                </c:pt>
                <c:pt idx="31" c:formatCode="dd/mm/yy">
                  <c:v>45792</c:v>
                </c:pt>
                <c:pt idx="32" c:formatCode="dd/mm/yy">
                  <c:v>45793</c:v>
                </c:pt>
                <c:pt idx="33" c:formatCode="dd/mm/yy">
                  <c:v>45794</c:v>
                </c:pt>
                <c:pt idx="34" c:formatCode="dd/mm/yy">
                  <c:v>45795</c:v>
                </c:pt>
                <c:pt idx="35" c:formatCode="dd/mm/yy">
                  <c:v>45796</c:v>
                </c:pt>
                <c:pt idx="36" c:formatCode="dd/mm/yy">
                  <c:v>45797</c:v>
                </c:pt>
                <c:pt idx="37" c:formatCode="dd/mm/yy">
                  <c:v>45798</c:v>
                </c:pt>
                <c:pt idx="38" c:formatCode="dd/mm/yy">
                  <c:v>45799</c:v>
                </c:pt>
                <c:pt idx="39" c:formatCode="dd/mm/yy">
                  <c:v>45800</c:v>
                </c:pt>
                <c:pt idx="40" c:formatCode="dd/mm/yy">
                  <c:v>45801</c:v>
                </c:pt>
                <c:pt idx="41" c:formatCode="dd/mm/yy">
                  <c:v>45802</c:v>
                </c:pt>
                <c:pt idx="42" c:formatCode="dd/mm/yy">
                  <c:v>45803</c:v>
                </c:pt>
                <c:pt idx="43" c:formatCode="dd/mm/yy">
                  <c:v>45804</c:v>
                </c:pt>
                <c:pt idx="44" c:formatCode="dd/mm/yy">
                  <c:v>45805</c:v>
                </c:pt>
                <c:pt idx="45" c:formatCode="dd/mm/yy">
                  <c:v>45806</c:v>
                </c:pt>
                <c:pt idx="46" c:formatCode="dd/mm/yy">
                  <c:v>45807</c:v>
                </c:pt>
                <c:pt idx="47" c:formatCode="dd/mm/yy">
                  <c:v>45808</c:v>
                </c:pt>
                <c:pt idx="48" c:formatCode="dd/mm/yy">
                  <c:v>45809</c:v>
                </c:pt>
                <c:pt idx="49" c:formatCode="dd/mm/yy">
                  <c:v>45810</c:v>
                </c:pt>
                <c:pt idx="50" c:formatCode="dd/mm/yy">
                  <c:v>45811</c:v>
                </c:pt>
                <c:pt idx="51" c:formatCode="dd/mm/yy">
                  <c:v>45812</c:v>
                </c:pt>
                <c:pt idx="52" c:formatCode="dd/mm/yy">
                  <c:v>45813</c:v>
                </c:pt>
                <c:pt idx="53" c:formatCode="dd/mm/yy">
                  <c:v>45814</c:v>
                </c:pt>
                <c:pt idx="54" c:formatCode="dd/mm/yy">
                  <c:v>45815</c:v>
                </c:pt>
                <c:pt idx="55" c:formatCode="dd/mm/yy">
                  <c:v>45816</c:v>
                </c:pt>
                <c:pt idx="56" c:formatCode="dd/mm/yy">
                  <c:v>45817</c:v>
                </c:pt>
                <c:pt idx="57" c:formatCode="dd/mm/yy">
                  <c:v>45818</c:v>
                </c:pt>
                <c:pt idx="58" c:formatCode="dd/mm/yy">
                  <c:v>45819</c:v>
                </c:pt>
                <c:pt idx="59" c:formatCode="dd/mm/yy">
                  <c:v>45820</c:v>
                </c:pt>
                <c:pt idx="60" c:formatCode="dd/mm/yy">
                  <c:v>45821</c:v>
                </c:pt>
                <c:pt idx="61" c:formatCode="dd/mm/yy">
                  <c:v>45822</c:v>
                </c:pt>
                <c:pt idx="62" c:formatCode="dd/mm/yy">
                  <c:v>45823</c:v>
                </c:pt>
                <c:pt idx="63" c:formatCode="dd/mm/yy">
                  <c:v>45824</c:v>
                </c:pt>
                <c:pt idx="64" c:formatCode="dd/mm/yy">
                  <c:v>45825</c:v>
                </c:pt>
                <c:pt idx="65" c:formatCode="dd/mm/yy">
                  <c:v>45826</c:v>
                </c:pt>
                <c:pt idx="66" c:formatCode="dd/mm/yy">
                  <c:v>45827</c:v>
                </c:pt>
                <c:pt idx="67" c:formatCode="dd/mm/yy">
                  <c:v>45828</c:v>
                </c:pt>
                <c:pt idx="68" c:formatCode="dd/mm/yy">
                  <c:v>45829</c:v>
                </c:pt>
                <c:pt idx="69" c:formatCode="dd/mm/yy">
                  <c:v>45830</c:v>
                </c:pt>
                <c:pt idx="70" c:formatCode="dd/mm/yy">
                  <c:v>45831</c:v>
                </c:pt>
                <c:pt idx="71" c:formatCode="dd/mm/yy">
                  <c:v>45832</c:v>
                </c:pt>
                <c:pt idx="72" c:formatCode="dd/mm/yy">
                  <c:v>45833</c:v>
                </c:pt>
                <c:pt idx="73" c:formatCode="dd/mm/yy">
                  <c:v>45834</c:v>
                </c:pt>
                <c:pt idx="74" c:formatCode="dd/mm/yy">
                  <c:v>45835</c:v>
                </c:pt>
                <c:pt idx="75" c:formatCode="dd/mm/yy">
                  <c:v>45836</c:v>
                </c:pt>
                <c:pt idx="76" c:formatCode="dd/mm/yy">
                  <c:v>45837</c:v>
                </c:pt>
                <c:pt idx="77" c:formatCode="dd/mm/yy">
                  <c:v>45838</c:v>
                </c:pt>
                <c:pt idx="78" c:formatCode="dd/mm/yy">
                  <c:v>45839</c:v>
                </c:pt>
                <c:pt idx="79" c:formatCode="dd/mm/yy">
                  <c:v>45840</c:v>
                </c:pt>
                <c:pt idx="80" c:formatCode="dd/mm/yy">
                  <c:v>45841</c:v>
                </c:pt>
                <c:pt idx="81" c:formatCode="dd/mm/yy">
                  <c:v>45842</c:v>
                </c:pt>
                <c:pt idx="82" c:formatCode="dd/mm/yy">
                  <c:v>45843</c:v>
                </c:pt>
                <c:pt idx="83" c:formatCode="dd/mm/yy">
                  <c:v>45844</c:v>
                </c:pt>
                <c:pt idx="84" c:formatCode="dd/mm/yy">
                  <c:v>45845</c:v>
                </c:pt>
                <c:pt idx="85" c:formatCode="dd/mm/yy">
                  <c:v>45846</c:v>
                </c:pt>
                <c:pt idx="86" c:formatCode="dd/mm/yy">
                  <c:v>45847</c:v>
                </c:pt>
                <c:pt idx="87" c:formatCode="dd/mm/yy">
                  <c:v>45848</c:v>
                </c:pt>
                <c:pt idx="88" c:formatCode="dd/mm/yy">
                  <c:v>45849</c:v>
                </c:pt>
                <c:pt idx="89" c:formatCode="dd/mm/yy">
                  <c:v>45850</c:v>
                </c:pt>
                <c:pt idx="90" c:formatCode="dd/mm/yy">
                  <c:v>45851</c:v>
                </c:pt>
                <c:pt idx="91" c:formatCode="dd/mm/yy">
                  <c:v>45852</c:v>
                </c:pt>
                <c:pt idx="92" c:formatCode="dd/mm/yy">
                  <c:v>45853</c:v>
                </c:pt>
                <c:pt idx="93" c:formatCode="dd/mm/yy">
                  <c:v>45854</c:v>
                </c:pt>
                <c:pt idx="94" c:formatCode="dd/mm/yy">
                  <c:v>45855</c:v>
                </c:pt>
                <c:pt idx="95" c:formatCode="dd/mm/yy">
                  <c:v>45856</c:v>
                </c:pt>
                <c:pt idx="96" c:formatCode="dd/mm/yy">
                  <c:v>45857</c:v>
                </c:pt>
                <c:pt idx="97" c:formatCode="dd/mm/yy">
                  <c:v>45858</c:v>
                </c:pt>
                <c:pt idx="98" c:formatCode="dd/mm/yy">
                  <c:v>45859</c:v>
                </c:pt>
                <c:pt idx="99" c:formatCode="dd/mm/yy">
                  <c:v>45860</c:v>
                </c:pt>
                <c:pt idx="100" c:formatCode="dd/mm/yy">
                  <c:v>45861</c:v>
                </c:pt>
                <c:pt idx="101" c:formatCode="dd/mm/yy">
                  <c:v>45862</c:v>
                </c:pt>
                <c:pt idx="102" c:formatCode="dd/mm/yy">
                  <c:v>45863</c:v>
                </c:pt>
                <c:pt idx="103" c:formatCode="dd/mm/yy">
                  <c:v>45864</c:v>
                </c:pt>
                <c:pt idx="104" c:formatCode="dd/mm/yy">
                  <c:v>45865</c:v>
                </c:pt>
                <c:pt idx="105" c:formatCode="dd/mm/yy">
                  <c:v>45866</c:v>
                </c:pt>
                <c:pt idx="106" c:formatCode="dd/mm/yy">
                  <c:v>45867</c:v>
                </c:pt>
                <c:pt idx="107" c:formatCode="dd/mm/yy">
                  <c:v>45868</c:v>
                </c:pt>
                <c:pt idx="108" c:formatCode="dd/mm/yy">
                  <c:v>45869</c:v>
                </c:pt>
                <c:pt idx="109" c:formatCode="dd/mm/yy">
                  <c:v>45870</c:v>
                </c:pt>
                <c:pt idx="110" c:formatCode="dd/mm/yy">
                  <c:v>45871</c:v>
                </c:pt>
                <c:pt idx="111" c:formatCode="dd/mm/yy">
                  <c:v>45872</c:v>
                </c:pt>
                <c:pt idx="112" c:formatCode="dd/mm/yy">
                  <c:v>45873</c:v>
                </c:pt>
                <c:pt idx="113" c:formatCode="dd/mm/yy">
                  <c:v>45874</c:v>
                </c:pt>
                <c:pt idx="114" c:formatCode="dd/mm/yy">
                  <c:v>45875</c:v>
                </c:pt>
                <c:pt idx="115" c:formatCode="dd/mm/yy">
                  <c:v>45876</c:v>
                </c:pt>
                <c:pt idx="116" c:formatCode="dd/mm/yy">
                  <c:v>45877</c:v>
                </c:pt>
                <c:pt idx="117" c:formatCode="dd/mm/yy">
                  <c:v>45878</c:v>
                </c:pt>
                <c:pt idx="118" c:formatCode="dd/mm/yy">
                  <c:v>45879</c:v>
                </c:pt>
                <c:pt idx="119" c:formatCode="dd/mm/yy">
                  <c:v>45880</c:v>
                </c:pt>
                <c:pt idx="120" c:formatCode="dd/mm/yy">
                  <c:v>45881</c:v>
                </c:pt>
                <c:pt idx="121" c:formatCode="dd/mm/yy">
                  <c:v>45882</c:v>
                </c:pt>
                <c:pt idx="122" c:formatCode="dd/mm/yy">
                  <c:v>45883</c:v>
                </c:pt>
                <c:pt idx="123" c:formatCode="dd/mm/yy">
                  <c:v>45884</c:v>
                </c:pt>
                <c:pt idx="124" c:formatCode="dd/mm/yy">
                  <c:v>45885</c:v>
                </c:pt>
                <c:pt idx="125" c:formatCode="dd/mm/yy">
                  <c:v>45886</c:v>
                </c:pt>
                <c:pt idx="126" c:formatCode="dd/mm/yy">
                  <c:v>45887</c:v>
                </c:pt>
                <c:pt idx="127" c:formatCode="dd/mm/yy">
                  <c:v>45888</c:v>
                </c:pt>
                <c:pt idx="128" c:formatCode="dd/mm/yy">
                  <c:v>45889</c:v>
                </c:pt>
                <c:pt idx="129" c:formatCode="dd/mm/yy">
                  <c:v>45890</c:v>
                </c:pt>
                <c:pt idx="130" c:formatCode="dd/mm/yy">
                  <c:v>45891</c:v>
                </c:pt>
                <c:pt idx="131" c:formatCode="dd/mm/yy">
                  <c:v>45892</c:v>
                </c:pt>
                <c:pt idx="132" c:formatCode="dd/mm/yy">
                  <c:v>45893</c:v>
                </c:pt>
                <c:pt idx="133" c:formatCode="dd/mm/yy">
                  <c:v>45894</c:v>
                </c:pt>
                <c:pt idx="134" c:formatCode="dd/mm/yy">
                  <c:v>45895</c:v>
                </c:pt>
                <c:pt idx="135" c:formatCode="dd/mm/yy">
                  <c:v>45896</c:v>
                </c:pt>
                <c:pt idx="136" c:formatCode="dd/mm/yy">
                  <c:v>45897</c:v>
                </c:pt>
                <c:pt idx="137" c:formatCode="dd/mm/yy">
                  <c:v>45898</c:v>
                </c:pt>
                <c:pt idx="138" c:formatCode="dd/mm/yy">
                  <c:v>45899</c:v>
                </c:pt>
                <c:pt idx="139" c:formatCode="dd/mm/yy">
                  <c:v>45900</c:v>
                </c:pt>
                <c:pt idx="140" c:formatCode="dd/mm/yy">
                  <c:v>45901</c:v>
                </c:pt>
                <c:pt idx="141" c:formatCode="dd/mm/yy">
                  <c:v>45902</c:v>
                </c:pt>
                <c:pt idx="142" c:formatCode="dd/mm/yy">
                  <c:v>45903</c:v>
                </c:pt>
                <c:pt idx="143" c:formatCode="dd/mm/yy">
                  <c:v>45904</c:v>
                </c:pt>
                <c:pt idx="144" c:formatCode="dd/mm/yy">
                  <c:v>45905</c:v>
                </c:pt>
                <c:pt idx="145" c:formatCode="dd/mm/yy">
                  <c:v>45906</c:v>
                </c:pt>
                <c:pt idx="146" c:formatCode="dd/mm/yy">
                  <c:v>45907</c:v>
                </c:pt>
                <c:pt idx="147" c:formatCode="dd/mm/yy">
                  <c:v>45908</c:v>
                </c:pt>
                <c:pt idx="148" c:formatCode="dd/mm/yy">
                  <c:v>45909</c:v>
                </c:pt>
                <c:pt idx="149" c:formatCode="dd/mm/yy">
                  <c:v>45910</c:v>
                </c:pt>
                <c:pt idx="150" c:formatCode="dd/mm/yy">
                  <c:v>45911</c:v>
                </c:pt>
                <c:pt idx="151" c:formatCode="dd/mm/yy">
                  <c:v>45912</c:v>
                </c:pt>
                <c:pt idx="152" c:formatCode="dd/mm/yy">
                  <c:v>45913</c:v>
                </c:pt>
                <c:pt idx="153" c:formatCode="dd/mm/yy">
                  <c:v>45914</c:v>
                </c:pt>
                <c:pt idx="154" c:formatCode="dd/mm/yy">
                  <c:v>45915</c:v>
                </c:pt>
                <c:pt idx="155" c:formatCode="dd/mm/yy">
                  <c:v>45916</c:v>
                </c:pt>
                <c:pt idx="156" c:formatCode="dd/mm/yy">
                  <c:v>45917</c:v>
                </c:pt>
                <c:pt idx="157" c:formatCode="dd/mm/yy">
                  <c:v>45918</c:v>
                </c:pt>
                <c:pt idx="158" c:formatCode="dd/mm/yy">
                  <c:v>45919</c:v>
                </c:pt>
                <c:pt idx="159" c:formatCode="dd/mm/yy">
                  <c:v>45920</c:v>
                </c:pt>
                <c:pt idx="160" c:formatCode="dd/mm/yy">
                  <c:v>45921</c:v>
                </c:pt>
                <c:pt idx="161" c:formatCode="dd/mm/yy">
                  <c:v>45922</c:v>
                </c:pt>
                <c:pt idx="162" c:formatCode="dd/mm/yy">
                  <c:v>45923</c:v>
                </c:pt>
                <c:pt idx="163" c:formatCode="dd/mm/yy">
                  <c:v>45924</c:v>
                </c:pt>
                <c:pt idx="164" c:formatCode="dd/mm/yy">
                  <c:v>45925</c:v>
                </c:pt>
                <c:pt idx="165" c:formatCode="dd/mm/yy">
                  <c:v>45926</c:v>
                </c:pt>
                <c:pt idx="166" c:formatCode="dd/mm/yy">
                  <c:v>45927</c:v>
                </c:pt>
                <c:pt idx="167" c:formatCode="dd/mm/yy">
                  <c:v>45928</c:v>
                </c:pt>
                <c:pt idx="168" c:formatCode="dd/mm/yy">
                  <c:v>45929</c:v>
                </c:pt>
                <c:pt idx="169" c:formatCode="dd/mm/yy">
                  <c:v>45930</c:v>
                </c:pt>
                <c:pt idx="170" c:formatCode="dd/mm/yy">
                  <c:v>45931</c:v>
                </c:pt>
                <c:pt idx="171" c:formatCode="dd/mm/yy">
                  <c:v>45932</c:v>
                </c:pt>
                <c:pt idx="172" c:formatCode="dd/mm/yy">
                  <c:v>45933</c:v>
                </c:pt>
                <c:pt idx="173" c:formatCode="dd/mm/yy">
                  <c:v>45934</c:v>
                </c:pt>
                <c:pt idx="174" c:formatCode="dd/mm/yy">
                  <c:v>45935</c:v>
                </c:pt>
                <c:pt idx="175" c:formatCode="dd/mm/yy">
                  <c:v>45936</c:v>
                </c:pt>
                <c:pt idx="176" c:formatCode="dd/mm/yy">
                  <c:v>45937</c:v>
                </c:pt>
                <c:pt idx="177" c:formatCode="dd/mm/yy">
                  <c:v>45938</c:v>
                </c:pt>
                <c:pt idx="178" c:formatCode="dd/mm/yy">
                  <c:v>45939</c:v>
                </c:pt>
                <c:pt idx="179" c:formatCode="dd/mm/yy">
                  <c:v>45940</c:v>
                </c:pt>
                <c:pt idx="180" c:formatCode="dd/mm/yy">
                  <c:v>45941</c:v>
                </c:pt>
                <c:pt idx="181" c:formatCode="dd/mm/yy">
                  <c:v>45942</c:v>
                </c:pt>
                <c:pt idx="182" c:formatCode="dd/mm/yy">
                  <c:v>45943</c:v>
                </c:pt>
                <c:pt idx="183" c:formatCode="dd/mm/yy">
                  <c:v>45944</c:v>
                </c:pt>
                <c:pt idx="184" c:formatCode="dd/mm/yy">
                  <c:v>45945</c:v>
                </c:pt>
                <c:pt idx="185" c:formatCode="dd/mm/yy">
                  <c:v>45946</c:v>
                </c:pt>
                <c:pt idx="186" c:formatCode="dd/mm/yy">
                  <c:v>45947</c:v>
                </c:pt>
                <c:pt idx="187" c:formatCode="dd/mm/yy">
                  <c:v>45948</c:v>
                </c:pt>
                <c:pt idx="188" c:formatCode="dd/mm/yy">
                  <c:v>45949</c:v>
                </c:pt>
                <c:pt idx="189" c:formatCode="dd/mm/yy">
                  <c:v>45950</c:v>
                </c:pt>
                <c:pt idx="190" c:formatCode="dd/mm/yy">
                  <c:v>45951</c:v>
                </c:pt>
                <c:pt idx="191" c:formatCode="dd/mm/yy">
                  <c:v>45952</c:v>
                </c:pt>
                <c:pt idx="192" c:formatCode="dd/mm/yy">
                  <c:v>45953</c:v>
                </c:pt>
                <c:pt idx="193" c:formatCode="dd/mm/yy">
                  <c:v>45954</c:v>
                </c:pt>
                <c:pt idx="194" c:formatCode="dd/mm/yy">
                  <c:v>45955</c:v>
                </c:pt>
                <c:pt idx="195" c:formatCode="dd/mm/yy">
                  <c:v>45956</c:v>
                </c:pt>
                <c:pt idx="196" c:formatCode="dd/mm/yy">
                  <c:v>45957</c:v>
                </c:pt>
                <c:pt idx="197" c:formatCode="dd/mm/yy">
                  <c:v>45958</c:v>
                </c:pt>
                <c:pt idx="198" c:formatCode="dd/mm/yy">
                  <c:v>45959</c:v>
                </c:pt>
                <c:pt idx="199" c:formatCode="dd/mm/yy">
                  <c:v>45960</c:v>
                </c:pt>
                <c:pt idx="200" c:formatCode="dd/mm/yy">
                  <c:v>45961</c:v>
                </c:pt>
                <c:pt idx="201" c:formatCode="dd/mm/yy">
                  <c:v>45962</c:v>
                </c:pt>
                <c:pt idx="202" c:formatCode="dd/mm/yy">
                  <c:v>45963</c:v>
                </c:pt>
                <c:pt idx="203" c:formatCode="dd/mm/yy">
                  <c:v>45964</c:v>
                </c:pt>
                <c:pt idx="204" c:formatCode="dd/mm/yy">
                  <c:v>45965</c:v>
                </c:pt>
                <c:pt idx="205" c:formatCode="dd/mm/yy">
                  <c:v>45966</c:v>
                </c:pt>
                <c:pt idx="206" c:formatCode="dd/mm/yy">
                  <c:v>45967</c:v>
                </c:pt>
                <c:pt idx="207" c:formatCode="dd/mm/yy">
                  <c:v>45968</c:v>
                </c:pt>
                <c:pt idx="208" c:formatCode="dd/mm/yy">
                  <c:v>45969</c:v>
                </c:pt>
                <c:pt idx="209" c:formatCode="dd/mm/yy">
                  <c:v>45970</c:v>
                </c:pt>
                <c:pt idx="210" c:formatCode="dd/mm/yy">
                  <c:v>45971</c:v>
                </c:pt>
                <c:pt idx="211" c:formatCode="dd/mm/yy">
                  <c:v>45972</c:v>
                </c:pt>
                <c:pt idx="212" c:formatCode="dd/mm/yy">
                  <c:v>45973</c:v>
                </c:pt>
                <c:pt idx="213" c:formatCode="dd/mm/yy">
                  <c:v>45974</c:v>
                </c:pt>
                <c:pt idx="214" c:formatCode="dd/mm/yy">
                  <c:v>45975</c:v>
                </c:pt>
                <c:pt idx="215" c:formatCode="dd/mm/yy">
                  <c:v>45976</c:v>
                </c:pt>
                <c:pt idx="216" c:formatCode="dd/mm/yy">
                  <c:v>45977</c:v>
                </c:pt>
                <c:pt idx="217" c:formatCode="dd/mm/yy">
                  <c:v>45978</c:v>
                </c:pt>
                <c:pt idx="218" c:formatCode="dd/mm/yy">
                  <c:v>45979</c:v>
                </c:pt>
                <c:pt idx="219" c:formatCode="dd/mm/yy">
                  <c:v>45980</c:v>
                </c:pt>
                <c:pt idx="220" c:formatCode="dd/mm/yy">
                  <c:v>45981</c:v>
                </c:pt>
                <c:pt idx="221" c:formatCode="dd/mm/yy">
                  <c:v>45982</c:v>
                </c:pt>
                <c:pt idx="222" c:formatCode="dd/mm/yy">
                  <c:v>45983</c:v>
                </c:pt>
                <c:pt idx="223" c:formatCode="dd/mm/yy">
                  <c:v>45984</c:v>
                </c:pt>
                <c:pt idx="224" c:formatCode="dd/mm/yy">
                  <c:v>45985</c:v>
                </c:pt>
                <c:pt idx="225" c:formatCode="dd/mm/yy">
                  <c:v>45986</c:v>
                </c:pt>
                <c:pt idx="226" c:formatCode="dd/mm/yy">
                  <c:v>45987</c:v>
                </c:pt>
                <c:pt idx="227" c:formatCode="dd/mm/yy">
                  <c:v>45988</c:v>
                </c:pt>
                <c:pt idx="228" c:formatCode="dd/mm/yy">
                  <c:v>45989</c:v>
                </c:pt>
                <c:pt idx="229" c:formatCode="dd/mm/yy">
                  <c:v>45990</c:v>
                </c:pt>
                <c:pt idx="230" c:formatCode="dd/mm/yy">
                  <c:v>45991</c:v>
                </c:pt>
                <c:pt idx="231" c:formatCode="dd/mm/yy">
                  <c:v>45992</c:v>
                </c:pt>
                <c:pt idx="232" c:formatCode="dd/mm/yy">
                  <c:v>45993</c:v>
                </c:pt>
                <c:pt idx="233" c:formatCode="dd/mm/yy">
                  <c:v>45994</c:v>
                </c:pt>
                <c:pt idx="234" c:formatCode="dd/mm/yy">
                  <c:v>45995</c:v>
                </c:pt>
                <c:pt idx="235" c:formatCode="dd/mm/yy">
                  <c:v>45996</c:v>
                </c:pt>
                <c:pt idx="236" c:formatCode="dd/mm/yy">
                  <c:v>45997</c:v>
                </c:pt>
                <c:pt idx="237" c:formatCode="dd/mm/yy">
                  <c:v>45998</c:v>
                </c:pt>
                <c:pt idx="238" c:formatCode="dd/mm/yy">
                  <c:v>45999</c:v>
                </c:pt>
                <c:pt idx="239" c:formatCode="dd/mm/yy">
                  <c:v>46000</c:v>
                </c:pt>
                <c:pt idx="240" c:formatCode="dd/mm/yy">
                  <c:v>46001</c:v>
                </c:pt>
                <c:pt idx="241" c:formatCode="dd/mm/yy">
                  <c:v>46002</c:v>
                </c:pt>
                <c:pt idx="242" c:formatCode="dd/mm/yy">
                  <c:v>46003</c:v>
                </c:pt>
                <c:pt idx="243" c:formatCode="dd/mm/yy">
                  <c:v>46004</c:v>
                </c:pt>
                <c:pt idx="244" c:formatCode="dd/mm/yy">
                  <c:v>46005</c:v>
                </c:pt>
                <c:pt idx="245" c:formatCode="dd/mm/yy">
                  <c:v>46006</c:v>
                </c:pt>
                <c:pt idx="246" c:formatCode="dd/mm/yy">
                  <c:v>46007</c:v>
                </c:pt>
                <c:pt idx="247" c:formatCode="dd/mm/yy">
                  <c:v>46008</c:v>
                </c:pt>
                <c:pt idx="248" c:formatCode="dd/mm/yy">
                  <c:v>46009</c:v>
                </c:pt>
                <c:pt idx="249" c:formatCode="dd/mm/yy">
                  <c:v>46010</c:v>
                </c:pt>
                <c:pt idx="250" c:formatCode="dd/mm/yy">
                  <c:v>46011</c:v>
                </c:pt>
                <c:pt idx="251" c:formatCode="dd/mm/yy">
                  <c:v>46012</c:v>
                </c:pt>
                <c:pt idx="252" c:formatCode="dd/mm/yy">
                  <c:v>46013</c:v>
                </c:pt>
                <c:pt idx="253" c:formatCode="dd/mm/yy">
                  <c:v>46014</c:v>
                </c:pt>
                <c:pt idx="254" c:formatCode="dd/mm/yy">
                  <c:v>46015</c:v>
                </c:pt>
                <c:pt idx="255" c:formatCode="dd/mm/yy">
                  <c:v>46016</c:v>
                </c:pt>
                <c:pt idx="256" c:formatCode="dd/mm/yy">
                  <c:v>46017</c:v>
                </c:pt>
                <c:pt idx="257" c:formatCode="dd/mm/yy">
                  <c:v>46018</c:v>
                </c:pt>
                <c:pt idx="258" c:formatCode="dd/mm/yy">
                  <c:v>46019</c:v>
                </c:pt>
                <c:pt idx="259" c:formatCode="dd/mm/yy">
                  <c:v>46020</c:v>
                </c:pt>
                <c:pt idx="260" c:formatCode="dd/mm/yy">
                  <c:v>46021</c:v>
                </c:pt>
                <c:pt idx="261" c:formatCode="dd/mm/yy">
                  <c:v>46022</c:v>
                </c:pt>
                <c:pt idx="262" c:formatCode="dd/mm/yy">
                  <c:v>46023</c:v>
                </c:pt>
                <c:pt idx="263" c:formatCode="dd/mm/yy">
                  <c:v>46024</c:v>
                </c:pt>
                <c:pt idx="264" c:formatCode="dd/mm/yy">
                  <c:v>46025</c:v>
                </c:pt>
                <c:pt idx="265" c:formatCode="dd/mm/yy">
                  <c:v>46026</c:v>
                </c:pt>
                <c:pt idx="266" c:formatCode="dd/mm/yy">
                  <c:v>46027</c:v>
                </c:pt>
                <c:pt idx="267" c:formatCode="dd/mm/yy">
                  <c:v>46028</c:v>
                </c:pt>
                <c:pt idx="268" c:formatCode="dd/mm/yy">
                  <c:v>46029</c:v>
                </c:pt>
                <c:pt idx="269" c:formatCode="dd/mm/yy">
                  <c:v>46030</c:v>
                </c:pt>
                <c:pt idx="270" c:formatCode="dd/mm/yy">
                  <c:v>46031</c:v>
                </c:pt>
                <c:pt idx="271" c:formatCode="dd/mm/yy">
                  <c:v>46032</c:v>
                </c:pt>
                <c:pt idx="272" c:formatCode="dd/mm/yy">
                  <c:v>46033</c:v>
                </c:pt>
                <c:pt idx="273" c:formatCode="dd/mm/yy">
                  <c:v>46034</c:v>
                </c:pt>
                <c:pt idx="274" c:formatCode="dd/mm/yy">
                  <c:v>46035</c:v>
                </c:pt>
                <c:pt idx="275" c:formatCode="dd/mm/yy">
                  <c:v>46036</c:v>
                </c:pt>
                <c:pt idx="276" c:formatCode="dd/mm/yy">
                  <c:v>46037</c:v>
                </c:pt>
                <c:pt idx="277" c:formatCode="dd/mm/yy">
                  <c:v>46038</c:v>
                </c:pt>
                <c:pt idx="278" c:formatCode="dd/mm/yy">
                  <c:v>46039</c:v>
                </c:pt>
                <c:pt idx="279" c:formatCode="dd/mm/yy">
                  <c:v>46040</c:v>
                </c:pt>
                <c:pt idx="280" c:formatCode="dd/mm/yy">
                  <c:v>46041</c:v>
                </c:pt>
                <c:pt idx="281" c:formatCode="dd/mm/yy">
                  <c:v>46042</c:v>
                </c:pt>
                <c:pt idx="282" c:formatCode="dd/mm/yy">
                  <c:v>46043</c:v>
                </c:pt>
                <c:pt idx="283" c:formatCode="dd/mm/yy">
                  <c:v>46044</c:v>
                </c:pt>
                <c:pt idx="284" c:formatCode="dd/mm/yy">
                  <c:v>46045</c:v>
                </c:pt>
                <c:pt idx="285" c:formatCode="dd/mm/yy">
                  <c:v>46046</c:v>
                </c:pt>
                <c:pt idx="286" c:formatCode="dd/mm/yy">
                  <c:v>46047</c:v>
                </c:pt>
                <c:pt idx="287" c:formatCode="dd/mm/yy">
                  <c:v>46048</c:v>
                </c:pt>
                <c:pt idx="288" c:formatCode="dd/mm/yy">
                  <c:v>46049</c:v>
                </c:pt>
                <c:pt idx="289" c:formatCode="dd/mm/yy">
                  <c:v>46050</c:v>
                </c:pt>
                <c:pt idx="290" c:formatCode="dd/mm/yy">
                  <c:v>46051</c:v>
                </c:pt>
                <c:pt idx="291" c:formatCode="dd/mm/yy">
                  <c:v>46052</c:v>
                </c:pt>
                <c:pt idx="292" c:formatCode="dd/mm/yy">
                  <c:v>46053</c:v>
                </c:pt>
                <c:pt idx="293" c:formatCode="dd/mm/yy">
                  <c:v>46054</c:v>
                </c:pt>
                <c:pt idx="294" c:formatCode="dd/mm/yy">
                  <c:v>46055</c:v>
                </c:pt>
                <c:pt idx="295" c:formatCode="dd/mm/yy">
                  <c:v>46056</c:v>
                </c:pt>
                <c:pt idx="296" c:formatCode="dd/mm/yy">
                  <c:v>46057</c:v>
                </c:pt>
                <c:pt idx="297" c:formatCode="dd/mm/yy">
                  <c:v>46058</c:v>
                </c:pt>
                <c:pt idx="298" c:formatCode="dd/mm/yy">
                  <c:v>46059</c:v>
                </c:pt>
                <c:pt idx="299" c:formatCode="dd/mm/yy">
                  <c:v>46060</c:v>
                </c:pt>
                <c:pt idx="300" c:formatCode="dd/mm/yy">
                  <c:v>46061</c:v>
                </c:pt>
                <c:pt idx="301" c:formatCode="dd/mm/yy">
                  <c:v>46062</c:v>
                </c:pt>
                <c:pt idx="302" c:formatCode="dd/mm/yy">
                  <c:v>46063</c:v>
                </c:pt>
                <c:pt idx="303" c:formatCode="dd/mm/yy">
                  <c:v>46064</c:v>
                </c:pt>
                <c:pt idx="304" c:formatCode="dd/mm/yy">
                  <c:v>46065</c:v>
                </c:pt>
                <c:pt idx="305" c:formatCode="dd/mm/yy">
                  <c:v>46066</c:v>
                </c:pt>
                <c:pt idx="306" c:formatCode="dd/mm/yy">
                  <c:v>46067</c:v>
                </c:pt>
                <c:pt idx="307" c:formatCode="dd/mm/yy">
                  <c:v>46068</c:v>
                </c:pt>
                <c:pt idx="308" c:formatCode="dd/mm/yy">
                  <c:v>46069</c:v>
                </c:pt>
                <c:pt idx="309" c:formatCode="dd/mm/yy">
                  <c:v>46070</c:v>
                </c:pt>
                <c:pt idx="310" c:formatCode="dd/mm/yy">
                  <c:v>46071</c:v>
                </c:pt>
                <c:pt idx="311" c:formatCode="dd/mm/yy">
                  <c:v>46072</c:v>
                </c:pt>
                <c:pt idx="312" c:formatCode="dd/mm/yy">
                  <c:v>46073</c:v>
                </c:pt>
                <c:pt idx="313" c:formatCode="dd/mm/yy">
                  <c:v>46074</c:v>
                </c:pt>
                <c:pt idx="314" c:formatCode="dd/mm/yy">
                  <c:v>46075</c:v>
                </c:pt>
                <c:pt idx="315" c:formatCode="dd/mm/yy">
                  <c:v>46076</c:v>
                </c:pt>
                <c:pt idx="316" c:formatCode="dd/mm/yy">
                  <c:v>46077</c:v>
                </c:pt>
                <c:pt idx="317" c:formatCode="dd/mm/yy">
                  <c:v>46078</c:v>
                </c:pt>
                <c:pt idx="318" c:formatCode="dd/mm/yy">
                  <c:v>46079</c:v>
                </c:pt>
              </c:numCache>
            </c:numRef>
          </c:cat>
          <c:val>
            <c:numRef>
              <c:f>Sheet1!$C$2:$C$320</c:f>
              <c:numCache>
                <c:formatCode>General</c:formatCode>
                <c:ptCount val="3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 par jour</c:v>
                </c:pt>
              </c:strCache>
            </c:strRef>
          </c:tx>
          <c:spPr>
            <a:ln w="19050" cap="rnd" cmpd="sng" algn="ctr">
              <a:solidFill>
                <a:srgbClr val="FBBC0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Sheet1!$A$2:$A$320</c:f>
              <c:numCache>
                <c:formatCode>dd/mm/yy</c:formatCode>
                <c:ptCount val="319"/>
                <c:pt idx="0" c:formatCode="dd/mm/yy">
                  <c:v>45761</c:v>
                </c:pt>
                <c:pt idx="1" c:formatCode="dd/mm/yy">
                  <c:v>45762</c:v>
                </c:pt>
                <c:pt idx="2" c:formatCode="dd/mm/yy">
                  <c:v>45763</c:v>
                </c:pt>
                <c:pt idx="3" c:formatCode="dd/mm/yy">
                  <c:v>45764</c:v>
                </c:pt>
                <c:pt idx="4" c:formatCode="dd/mm/yy">
                  <c:v>45765</c:v>
                </c:pt>
                <c:pt idx="5" c:formatCode="dd/mm/yy">
                  <c:v>45766</c:v>
                </c:pt>
                <c:pt idx="6" c:formatCode="dd/mm/yy">
                  <c:v>45767</c:v>
                </c:pt>
                <c:pt idx="7" c:formatCode="dd/mm/yy">
                  <c:v>45768</c:v>
                </c:pt>
                <c:pt idx="8" c:formatCode="dd/mm/yy">
                  <c:v>45769</c:v>
                </c:pt>
                <c:pt idx="9" c:formatCode="dd/mm/yy">
                  <c:v>45770</c:v>
                </c:pt>
                <c:pt idx="10" c:formatCode="dd/mm/yy">
                  <c:v>45771</c:v>
                </c:pt>
                <c:pt idx="11" c:formatCode="dd/mm/yy">
                  <c:v>45772</c:v>
                </c:pt>
                <c:pt idx="12" c:formatCode="dd/mm/yy">
                  <c:v>45773</c:v>
                </c:pt>
                <c:pt idx="13" c:formatCode="dd/mm/yy">
                  <c:v>45774</c:v>
                </c:pt>
                <c:pt idx="14" c:formatCode="dd/mm/yy">
                  <c:v>45775</c:v>
                </c:pt>
                <c:pt idx="15" c:formatCode="dd/mm/yy">
                  <c:v>45776</c:v>
                </c:pt>
                <c:pt idx="16" c:formatCode="dd/mm/yy">
                  <c:v>45777</c:v>
                </c:pt>
                <c:pt idx="17" c:formatCode="dd/mm/yy">
                  <c:v>45778</c:v>
                </c:pt>
                <c:pt idx="18" c:formatCode="dd/mm/yy">
                  <c:v>45779</c:v>
                </c:pt>
                <c:pt idx="19" c:formatCode="dd/mm/yy">
                  <c:v>45780</c:v>
                </c:pt>
                <c:pt idx="20" c:formatCode="dd/mm/yy">
                  <c:v>45781</c:v>
                </c:pt>
                <c:pt idx="21" c:formatCode="dd/mm/yy">
                  <c:v>45782</c:v>
                </c:pt>
                <c:pt idx="22" c:formatCode="dd/mm/yy">
                  <c:v>45783</c:v>
                </c:pt>
                <c:pt idx="23" c:formatCode="dd/mm/yy">
                  <c:v>45784</c:v>
                </c:pt>
                <c:pt idx="24" c:formatCode="dd/mm/yy">
                  <c:v>45785</c:v>
                </c:pt>
                <c:pt idx="25" c:formatCode="dd/mm/yy">
                  <c:v>45786</c:v>
                </c:pt>
                <c:pt idx="26" c:formatCode="dd/mm/yy">
                  <c:v>45787</c:v>
                </c:pt>
                <c:pt idx="27" c:formatCode="dd/mm/yy">
                  <c:v>45788</c:v>
                </c:pt>
                <c:pt idx="28" c:formatCode="dd/mm/yy">
                  <c:v>45789</c:v>
                </c:pt>
                <c:pt idx="29" c:formatCode="dd/mm/yy">
                  <c:v>45790</c:v>
                </c:pt>
                <c:pt idx="30" c:formatCode="dd/mm/yy">
                  <c:v>45791</c:v>
                </c:pt>
                <c:pt idx="31" c:formatCode="dd/mm/yy">
                  <c:v>45792</c:v>
                </c:pt>
                <c:pt idx="32" c:formatCode="dd/mm/yy">
                  <c:v>45793</c:v>
                </c:pt>
                <c:pt idx="33" c:formatCode="dd/mm/yy">
                  <c:v>45794</c:v>
                </c:pt>
                <c:pt idx="34" c:formatCode="dd/mm/yy">
                  <c:v>45795</c:v>
                </c:pt>
                <c:pt idx="35" c:formatCode="dd/mm/yy">
                  <c:v>45796</c:v>
                </c:pt>
                <c:pt idx="36" c:formatCode="dd/mm/yy">
                  <c:v>45797</c:v>
                </c:pt>
                <c:pt idx="37" c:formatCode="dd/mm/yy">
                  <c:v>45798</c:v>
                </c:pt>
                <c:pt idx="38" c:formatCode="dd/mm/yy">
                  <c:v>45799</c:v>
                </c:pt>
                <c:pt idx="39" c:formatCode="dd/mm/yy">
                  <c:v>45800</c:v>
                </c:pt>
                <c:pt idx="40" c:formatCode="dd/mm/yy">
                  <c:v>45801</c:v>
                </c:pt>
                <c:pt idx="41" c:formatCode="dd/mm/yy">
                  <c:v>45802</c:v>
                </c:pt>
                <c:pt idx="42" c:formatCode="dd/mm/yy">
                  <c:v>45803</c:v>
                </c:pt>
                <c:pt idx="43" c:formatCode="dd/mm/yy">
                  <c:v>45804</c:v>
                </c:pt>
                <c:pt idx="44" c:formatCode="dd/mm/yy">
                  <c:v>45805</c:v>
                </c:pt>
                <c:pt idx="45" c:formatCode="dd/mm/yy">
                  <c:v>45806</c:v>
                </c:pt>
                <c:pt idx="46" c:formatCode="dd/mm/yy">
                  <c:v>45807</c:v>
                </c:pt>
                <c:pt idx="47" c:formatCode="dd/mm/yy">
                  <c:v>45808</c:v>
                </c:pt>
                <c:pt idx="48" c:formatCode="dd/mm/yy">
                  <c:v>45809</c:v>
                </c:pt>
                <c:pt idx="49" c:formatCode="dd/mm/yy">
                  <c:v>45810</c:v>
                </c:pt>
                <c:pt idx="50" c:formatCode="dd/mm/yy">
                  <c:v>45811</c:v>
                </c:pt>
                <c:pt idx="51" c:formatCode="dd/mm/yy">
                  <c:v>45812</c:v>
                </c:pt>
                <c:pt idx="52" c:formatCode="dd/mm/yy">
                  <c:v>45813</c:v>
                </c:pt>
                <c:pt idx="53" c:formatCode="dd/mm/yy">
                  <c:v>45814</c:v>
                </c:pt>
                <c:pt idx="54" c:formatCode="dd/mm/yy">
                  <c:v>45815</c:v>
                </c:pt>
                <c:pt idx="55" c:formatCode="dd/mm/yy">
                  <c:v>45816</c:v>
                </c:pt>
                <c:pt idx="56" c:formatCode="dd/mm/yy">
                  <c:v>45817</c:v>
                </c:pt>
                <c:pt idx="57" c:formatCode="dd/mm/yy">
                  <c:v>45818</c:v>
                </c:pt>
                <c:pt idx="58" c:formatCode="dd/mm/yy">
                  <c:v>45819</c:v>
                </c:pt>
                <c:pt idx="59" c:formatCode="dd/mm/yy">
                  <c:v>45820</c:v>
                </c:pt>
                <c:pt idx="60" c:formatCode="dd/mm/yy">
                  <c:v>45821</c:v>
                </c:pt>
                <c:pt idx="61" c:formatCode="dd/mm/yy">
                  <c:v>45822</c:v>
                </c:pt>
                <c:pt idx="62" c:formatCode="dd/mm/yy">
                  <c:v>45823</c:v>
                </c:pt>
                <c:pt idx="63" c:formatCode="dd/mm/yy">
                  <c:v>45824</c:v>
                </c:pt>
                <c:pt idx="64" c:formatCode="dd/mm/yy">
                  <c:v>45825</c:v>
                </c:pt>
                <c:pt idx="65" c:formatCode="dd/mm/yy">
                  <c:v>45826</c:v>
                </c:pt>
                <c:pt idx="66" c:formatCode="dd/mm/yy">
                  <c:v>45827</c:v>
                </c:pt>
                <c:pt idx="67" c:formatCode="dd/mm/yy">
                  <c:v>45828</c:v>
                </c:pt>
                <c:pt idx="68" c:formatCode="dd/mm/yy">
                  <c:v>45829</c:v>
                </c:pt>
                <c:pt idx="69" c:formatCode="dd/mm/yy">
                  <c:v>45830</c:v>
                </c:pt>
                <c:pt idx="70" c:formatCode="dd/mm/yy">
                  <c:v>45831</c:v>
                </c:pt>
                <c:pt idx="71" c:formatCode="dd/mm/yy">
                  <c:v>45832</c:v>
                </c:pt>
                <c:pt idx="72" c:formatCode="dd/mm/yy">
                  <c:v>45833</c:v>
                </c:pt>
                <c:pt idx="73" c:formatCode="dd/mm/yy">
                  <c:v>45834</c:v>
                </c:pt>
                <c:pt idx="74" c:formatCode="dd/mm/yy">
                  <c:v>45835</c:v>
                </c:pt>
                <c:pt idx="75" c:formatCode="dd/mm/yy">
                  <c:v>45836</c:v>
                </c:pt>
                <c:pt idx="76" c:formatCode="dd/mm/yy">
                  <c:v>45837</c:v>
                </c:pt>
                <c:pt idx="77" c:formatCode="dd/mm/yy">
                  <c:v>45838</c:v>
                </c:pt>
                <c:pt idx="78" c:formatCode="dd/mm/yy">
                  <c:v>45839</c:v>
                </c:pt>
                <c:pt idx="79" c:formatCode="dd/mm/yy">
                  <c:v>45840</c:v>
                </c:pt>
                <c:pt idx="80" c:formatCode="dd/mm/yy">
                  <c:v>45841</c:v>
                </c:pt>
                <c:pt idx="81" c:formatCode="dd/mm/yy">
                  <c:v>45842</c:v>
                </c:pt>
                <c:pt idx="82" c:formatCode="dd/mm/yy">
                  <c:v>45843</c:v>
                </c:pt>
                <c:pt idx="83" c:formatCode="dd/mm/yy">
                  <c:v>45844</c:v>
                </c:pt>
                <c:pt idx="84" c:formatCode="dd/mm/yy">
                  <c:v>45845</c:v>
                </c:pt>
                <c:pt idx="85" c:formatCode="dd/mm/yy">
                  <c:v>45846</c:v>
                </c:pt>
                <c:pt idx="86" c:formatCode="dd/mm/yy">
                  <c:v>45847</c:v>
                </c:pt>
                <c:pt idx="87" c:formatCode="dd/mm/yy">
                  <c:v>45848</c:v>
                </c:pt>
                <c:pt idx="88" c:formatCode="dd/mm/yy">
                  <c:v>45849</c:v>
                </c:pt>
                <c:pt idx="89" c:formatCode="dd/mm/yy">
                  <c:v>45850</c:v>
                </c:pt>
                <c:pt idx="90" c:formatCode="dd/mm/yy">
                  <c:v>45851</c:v>
                </c:pt>
                <c:pt idx="91" c:formatCode="dd/mm/yy">
                  <c:v>45852</c:v>
                </c:pt>
                <c:pt idx="92" c:formatCode="dd/mm/yy">
                  <c:v>45853</c:v>
                </c:pt>
                <c:pt idx="93" c:formatCode="dd/mm/yy">
                  <c:v>45854</c:v>
                </c:pt>
                <c:pt idx="94" c:formatCode="dd/mm/yy">
                  <c:v>45855</c:v>
                </c:pt>
                <c:pt idx="95" c:formatCode="dd/mm/yy">
                  <c:v>45856</c:v>
                </c:pt>
                <c:pt idx="96" c:formatCode="dd/mm/yy">
                  <c:v>45857</c:v>
                </c:pt>
                <c:pt idx="97" c:formatCode="dd/mm/yy">
                  <c:v>45858</c:v>
                </c:pt>
                <c:pt idx="98" c:formatCode="dd/mm/yy">
                  <c:v>45859</c:v>
                </c:pt>
                <c:pt idx="99" c:formatCode="dd/mm/yy">
                  <c:v>45860</c:v>
                </c:pt>
                <c:pt idx="100" c:formatCode="dd/mm/yy">
                  <c:v>45861</c:v>
                </c:pt>
                <c:pt idx="101" c:formatCode="dd/mm/yy">
                  <c:v>45862</c:v>
                </c:pt>
                <c:pt idx="102" c:formatCode="dd/mm/yy">
                  <c:v>45863</c:v>
                </c:pt>
                <c:pt idx="103" c:formatCode="dd/mm/yy">
                  <c:v>45864</c:v>
                </c:pt>
                <c:pt idx="104" c:formatCode="dd/mm/yy">
                  <c:v>45865</c:v>
                </c:pt>
                <c:pt idx="105" c:formatCode="dd/mm/yy">
                  <c:v>45866</c:v>
                </c:pt>
                <c:pt idx="106" c:formatCode="dd/mm/yy">
                  <c:v>45867</c:v>
                </c:pt>
                <c:pt idx="107" c:formatCode="dd/mm/yy">
                  <c:v>45868</c:v>
                </c:pt>
                <c:pt idx="108" c:formatCode="dd/mm/yy">
                  <c:v>45869</c:v>
                </c:pt>
                <c:pt idx="109" c:formatCode="dd/mm/yy">
                  <c:v>45870</c:v>
                </c:pt>
                <c:pt idx="110" c:formatCode="dd/mm/yy">
                  <c:v>45871</c:v>
                </c:pt>
                <c:pt idx="111" c:formatCode="dd/mm/yy">
                  <c:v>45872</c:v>
                </c:pt>
                <c:pt idx="112" c:formatCode="dd/mm/yy">
                  <c:v>45873</c:v>
                </c:pt>
                <c:pt idx="113" c:formatCode="dd/mm/yy">
                  <c:v>45874</c:v>
                </c:pt>
                <c:pt idx="114" c:formatCode="dd/mm/yy">
                  <c:v>45875</c:v>
                </c:pt>
                <c:pt idx="115" c:formatCode="dd/mm/yy">
                  <c:v>45876</c:v>
                </c:pt>
                <c:pt idx="116" c:formatCode="dd/mm/yy">
                  <c:v>45877</c:v>
                </c:pt>
                <c:pt idx="117" c:formatCode="dd/mm/yy">
                  <c:v>45878</c:v>
                </c:pt>
                <c:pt idx="118" c:formatCode="dd/mm/yy">
                  <c:v>45879</c:v>
                </c:pt>
                <c:pt idx="119" c:formatCode="dd/mm/yy">
                  <c:v>45880</c:v>
                </c:pt>
                <c:pt idx="120" c:formatCode="dd/mm/yy">
                  <c:v>45881</c:v>
                </c:pt>
                <c:pt idx="121" c:formatCode="dd/mm/yy">
                  <c:v>45882</c:v>
                </c:pt>
                <c:pt idx="122" c:formatCode="dd/mm/yy">
                  <c:v>45883</c:v>
                </c:pt>
                <c:pt idx="123" c:formatCode="dd/mm/yy">
                  <c:v>45884</c:v>
                </c:pt>
                <c:pt idx="124" c:formatCode="dd/mm/yy">
                  <c:v>45885</c:v>
                </c:pt>
                <c:pt idx="125" c:formatCode="dd/mm/yy">
                  <c:v>45886</c:v>
                </c:pt>
                <c:pt idx="126" c:formatCode="dd/mm/yy">
                  <c:v>45887</c:v>
                </c:pt>
                <c:pt idx="127" c:formatCode="dd/mm/yy">
                  <c:v>45888</c:v>
                </c:pt>
                <c:pt idx="128" c:formatCode="dd/mm/yy">
                  <c:v>45889</c:v>
                </c:pt>
                <c:pt idx="129" c:formatCode="dd/mm/yy">
                  <c:v>45890</c:v>
                </c:pt>
                <c:pt idx="130" c:formatCode="dd/mm/yy">
                  <c:v>45891</c:v>
                </c:pt>
                <c:pt idx="131" c:formatCode="dd/mm/yy">
                  <c:v>45892</c:v>
                </c:pt>
                <c:pt idx="132" c:formatCode="dd/mm/yy">
                  <c:v>45893</c:v>
                </c:pt>
                <c:pt idx="133" c:formatCode="dd/mm/yy">
                  <c:v>45894</c:v>
                </c:pt>
                <c:pt idx="134" c:formatCode="dd/mm/yy">
                  <c:v>45895</c:v>
                </c:pt>
                <c:pt idx="135" c:formatCode="dd/mm/yy">
                  <c:v>45896</c:v>
                </c:pt>
                <c:pt idx="136" c:formatCode="dd/mm/yy">
                  <c:v>45897</c:v>
                </c:pt>
                <c:pt idx="137" c:formatCode="dd/mm/yy">
                  <c:v>45898</c:v>
                </c:pt>
                <c:pt idx="138" c:formatCode="dd/mm/yy">
                  <c:v>45899</c:v>
                </c:pt>
                <c:pt idx="139" c:formatCode="dd/mm/yy">
                  <c:v>45900</c:v>
                </c:pt>
                <c:pt idx="140" c:formatCode="dd/mm/yy">
                  <c:v>45901</c:v>
                </c:pt>
                <c:pt idx="141" c:formatCode="dd/mm/yy">
                  <c:v>45902</c:v>
                </c:pt>
                <c:pt idx="142" c:formatCode="dd/mm/yy">
                  <c:v>45903</c:v>
                </c:pt>
                <c:pt idx="143" c:formatCode="dd/mm/yy">
                  <c:v>45904</c:v>
                </c:pt>
                <c:pt idx="144" c:formatCode="dd/mm/yy">
                  <c:v>45905</c:v>
                </c:pt>
                <c:pt idx="145" c:formatCode="dd/mm/yy">
                  <c:v>45906</c:v>
                </c:pt>
                <c:pt idx="146" c:formatCode="dd/mm/yy">
                  <c:v>45907</c:v>
                </c:pt>
                <c:pt idx="147" c:formatCode="dd/mm/yy">
                  <c:v>45908</c:v>
                </c:pt>
                <c:pt idx="148" c:formatCode="dd/mm/yy">
                  <c:v>45909</c:v>
                </c:pt>
                <c:pt idx="149" c:formatCode="dd/mm/yy">
                  <c:v>45910</c:v>
                </c:pt>
                <c:pt idx="150" c:formatCode="dd/mm/yy">
                  <c:v>45911</c:v>
                </c:pt>
                <c:pt idx="151" c:formatCode="dd/mm/yy">
                  <c:v>45912</c:v>
                </c:pt>
                <c:pt idx="152" c:formatCode="dd/mm/yy">
                  <c:v>45913</c:v>
                </c:pt>
                <c:pt idx="153" c:formatCode="dd/mm/yy">
                  <c:v>45914</c:v>
                </c:pt>
                <c:pt idx="154" c:formatCode="dd/mm/yy">
                  <c:v>45915</c:v>
                </c:pt>
                <c:pt idx="155" c:formatCode="dd/mm/yy">
                  <c:v>45916</c:v>
                </c:pt>
                <c:pt idx="156" c:formatCode="dd/mm/yy">
                  <c:v>45917</c:v>
                </c:pt>
                <c:pt idx="157" c:formatCode="dd/mm/yy">
                  <c:v>45918</c:v>
                </c:pt>
                <c:pt idx="158" c:formatCode="dd/mm/yy">
                  <c:v>45919</c:v>
                </c:pt>
                <c:pt idx="159" c:formatCode="dd/mm/yy">
                  <c:v>45920</c:v>
                </c:pt>
                <c:pt idx="160" c:formatCode="dd/mm/yy">
                  <c:v>45921</c:v>
                </c:pt>
                <c:pt idx="161" c:formatCode="dd/mm/yy">
                  <c:v>45922</c:v>
                </c:pt>
                <c:pt idx="162" c:formatCode="dd/mm/yy">
                  <c:v>45923</c:v>
                </c:pt>
                <c:pt idx="163" c:formatCode="dd/mm/yy">
                  <c:v>45924</c:v>
                </c:pt>
                <c:pt idx="164" c:formatCode="dd/mm/yy">
                  <c:v>45925</c:v>
                </c:pt>
                <c:pt idx="165" c:formatCode="dd/mm/yy">
                  <c:v>45926</c:v>
                </c:pt>
                <c:pt idx="166" c:formatCode="dd/mm/yy">
                  <c:v>45927</c:v>
                </c:pt>
                <c:pt idx="167" c:formatCode="dd/mm/yy">
                  <c:v>45928</c:v>
                </c:pt>
                <c:pt idx="168" c:formatCode="dd/mm/yy">
                  <c:v>45929</c:v>
                </c:pt>
                <c:pt idx="169" c:formatCode="dd/mm/yy">
                  <c:v>45930</c:v>
                </c:pt>
                <c:pt idx="170" c:formatCode="dd/mm/yy">
                  <c:v>45931</c:v>
                </c:pt>
                <c:pt idx="171" c:formatCode="dd/mm/yy">
                  <c:v>45932</c:v>
                </c:pt>
                <c:pt idx="172" c:formatCode="dd/mm/yy">
                  <c:v>45933</c:v>
                </c:pt>
                <c:pt idx="173" c:formatCode="dd/mm/yy">
                  <c:v>45934</c:v>
                </c:pt>
                <c:pt idx="174" c:formatCode="dd/mm/yy">
                  <c:v>45935</c:v>
                </c:pt>
                <c:pt idx="175" c:formatCode="dd/mm/yy">
                  <c:v>45936</c:v>
                </c:pt>
                <c:pt idx="176" c:formatCode="dd/mm/yy">
                  <c:v>45937</c:v>
                </c:pt>
                <c:pt idx="177" c:formatCode="dd/mm/yy">
                  <c:v>45938</c:v>
                </c:pt>
                <c:pt idx="178" c:formatCode="dd/mm/yy">
                  <c:v>45939</c:v>
                </c:pt>
                <c:pt idx="179" c:formatCode="dd/mm/yy">
                  <c:v>45940</c:v>
                </c:pt>
                <c:pt idx="180" c:formatCode="dd/mm/yy">
                  <c:v>45941</c:v>
                </c:pt>
                <c:pt idx="181" c:formatCode="dd/mm/yy">
                  <c:v>45942</c:v>
                </c:pt>
                <c:pt idx="182" c:formatCode="dd/mm/yy">
                  <c:v>45943</c:v>
                </c:pt>
                <c:pt idx="183" c:formatCode="dd/mm/yy">
                  <c:v>45944</c:v>
                </c:pt>
                <c:pt idx="184" c:formatCode="dd/mm/yy">
                  <c:v>45945</c:v>
                </c:pt>
                <c:pt idx="185" c:formatCode="dd/mm/yy">
                  <c:v>45946</c:v>
                </c:pt>
                <c:pt idx="186" c:formatCode="dd/mm/yy">
                  <c:v>45947</c:v>
                </c:pt>
                <c:pt idx="187" c:formatCode="dd/mm/yy">
                  <c:v>45948</c:v>
                </c:pt>
                <c:pt idx="188" c:formatCode="dd/mm/yy">
                  <c:v>45949</c:v>
                </c:pt>
                <c:pt idx="189" c:formatCode="dd/mm/yy">
                  <c:v>45950</c:v>
                </c:pt>
                <c:pt idx="190" c:formatCode="dd/mm/yy">
                  <c:v>45951</c:v>
                </c:pt>
                <c:pt idx="191" c:formatCode="dd/mm/yy">
                  <c:v>45952</c:v>
                </c:pt>
                <c:pt idx="192" c:formatCode="dd/mm/yy">
                  <c:v>45953</c:v>
                </c:pt>
                <c:pt idx="193" c:formatCode="dd/mm/yy">
                  <c:v>45954</c:v>
                </c:pt>
                <c:pt idx="194" c:formatCode="dd/mm/yy">
                  <c:v>45955</c:v>
                </c:pt>
                <c:pt idx="195" c:formatCode="dd/mm/yy">
                  <c:v>45956</c:v>
                </c:pt>
                <c:pt idx="196" c:formatCode="dd/mm/yy">
                  <c:v>45957</c:v>
                </c:pt>
                <c:pt idx="197" c:formatCode="dd/mm/yy">
                  <c:v>45958</c:v>
                </c:pt>
                <c:pt idx="198" c:formatCode="dd/mm/yy">
                  <c:v>45959</c:v>
                </c:pt>
                <c:pt idx="199" c:formatCode="dd/mm/yy">
                  <c:v>45960</c:v>
                </c:pt>
                <c:pt idx="200" c:formatCode="dd/mm/yy">
                  <c:v>45961</c:v>
                </c:pt>
                <c:pt idx="201" c:formatCode="dd/mm/yy">
                  <c:v>45962</c:v>
                </c:pt>
                <c:pt idx="202" c:formatCode="dd/mm/yy">
                  <c:v>45963</c:v>
                </c:pt>
                <c:pt idx="203" c:formatCode="dd/mm/yy">
                  <c:v>45964</c:v>
                </c:pt>
                <c:pt idx="204" c:formatCode="dd/mm/yy">
                  <c:v>45965</c:v>
                </c:pt>
                <c:pt idx="205" c:formatCode="dd/mm/yy">
                  <c:v>45966</c:v>
                </c:pt>
                <c:pt idx="206" c:formatCode="dd/mm/yy">
                  <c:v>45967</c:v>
                </c:pt>
                <c:pt idx="207" c:formatCode="dd/mm/yy">
                  <c:v>45968</c:v>
                </c:pt>
                <c:pt idx="208" c:formatCode="dd/mm/yy">
                  <c:v>45969</c:v>
                </c:pt>
                <c:pt idx="209" c:formatCode="dd/mm/yy">
                  <c:v>45970</c:v>
                </c:pt>
                <c:pt idx="210" c:formatCode="dd/mm/yy">
                  <c:v>45971</c:v>
                </c:pt>
                <c:pt idx="211" c:formatCode="dd/mm/yy">
                  <c:v>45972</c:v>
                </c:pt>
                <c:pt idx="212" c:formatCode="dd/mm/yy">
                  <c:v>45973</c:v>
                </c:pt>
                <c:pt idx="213" c:formatCode="dd/mm/yy">
                  <c:v>45974</c:v>
                </c:pt>
                <c:pt idx="214" c:formatCode="dd/mm/yy">
                  <c:v>45975</c:v>
                </c:pt>
                <c:pt idx="215" c:formatCode="dd/mm/yy">
                  <c:v>45976</c:v>
                </c:pt>
                <c:pt idx="216" c:formatCode="dd/mm/yy">
                  <c:v>45977</c:v>
                </c:pt>
                <c:pt idx="217" c:formatCode="dd/mm/yy">
                  <c:v>45978</c:v>
                </c:pt>
                <c:pt idx="218" c:formatCode="dd/mm/yy">
                  <c:v>45979</c:v>
                </c:pt>
                <c:pt idx="219" c:formatCode="dd/mm/yy">
                  <c:v>45980</c:v>
                </c:pt>
                <c:pt idx="220" c:formatCode="dd/mm/yy">
                  <c:v>45981</c:v>
                </c:pt>
                <c:pt idx="221" c:formatCode="dd/mm/yy">
                  <c:v>45982</c:v>
                </c:pt>
                <c:pt idx="222" c:formatCode="dd/mm/yy">
                  <c:v>45983</c:v>
                </c:pt>
                <c:pt idx="223" c:formatCode="dd/mm/yy">
                  <c:v>45984</c:v>
                </c:pt>
                <c:pt idx="224" c:formatCode="dd/mm/yy">
                  <c:v>45985</c:v>
                </c:pt>
                <c:pt idx="225" c:formatCode="dd/mm/yy">
                  <c:v>45986</c:v>
                </c:pt>
                <c:pt idx="226" c:formatCode="dd/mm/yy">
                  <c:v>45987</c:v>
                </c:pt>
                <c:pt idx="227" c:formatCode="dd/mm/yy">
                  <c:v>45988</c:v>
                </c:pt>
                <c:pt idx="228" c:formatCode="dd/mm/yy">
                  <c:v>45989</c:v>
                </c:pt>
                <c:pt idx="229" c:formatCode="dd/mm/yy">
                  <c:v>45990</c:v>
                </c:pt>
                <c:pt idx="230" c:formatCode="dd/mm/yy">
                  <c:v>45991</c:v>
                </c:pt>
                <c:pt idx="231" c:formatCode="dd/mm/yy">
                  <c:v>45992</c:v>
                </c:pt>
                <c:pt idx="232" c:formatCode="dd/mm/yy">
                  <c:v>45993</c:v>
                </c:pt>
                <c:pt idx="233" c:formatCode="dd/mm/yy">
                  <c:v>45994</c:v>
                </c:pt>
                <c:pt idx="234" c:formatCode="dd/mm/yy">
                  <c:v>45995</c:v>
                </c:pt>
                <c:pt idx="235" c:formatCode="dd/mm/yy">
                  <c:v>45996</c:v>
                </c:pt>
                <c:pt idx="236" c:formatCode="dd/mm/yy">
                  <c:v>45997</c:v>
                </c:pt>
                <c:pt idx="237" c:formatCode="dd/mm/yy">
                  <c:v>45998</c:v>
                </c:pt>
                <c:pt idx="238" c:formatCode="dd/mm/yy">
                  <c:v>45999</c:v>
                </c:pt>
                <c:pt idx="239" c:formatCode="dd/mm/yy">
                  <c:v>46000</c:v>
                </c:pt>
                <c:pt idx="240" c:formatCode="dd/mm/yy">
                  <c:v>46001</c:v>
                </c:pt>
                <c:pt idx="241" c:formatCode="dd/mm/yy">
                  <c:v>46002</c:v>
                </c:pt>
                <c:pt idx="242" c:formatCode="dd/mm/yy">
                  <c:v>46003</c:v>
                </c:pt>
                <c:pt idx="243" c:formatCode="dd/mm/yy">
                  <c:v>46004</c:v>
                </c:pt>
                <c:pt idx="244" c:formatCode="dd/mm/yy">
                  <c:v>46005</c:v>
                </c:pt>
                <c:pt idx="245" c:formatCode="dd/mm/yy">
                  <c:v>46006</c:v>
                </c:pt>
                <c:pt idx="246" c:formatCode="dd/mm/yy">
                  <c:v>46007</c:v>
                </c:pt>
                <c:pt idx="247" c:formatCode="dd/mm/yy">
                  <c:v>46008</c:v>
                </c:pt>
                <c:pt idx="248" c:formatCode="dd/mm/yy">
                  <c:v>46009</c:v>
                </c:pt>
                <c:pt idx="249" c:formatCode="dd/mm/yy">
                  <c:v>46010</c:v>
                </c:pt>
                <c:pt idx="250" c:formatCode="dd/mm/yy">
                  <c:v>46011</c:v>
                </c:pt>
                <c:pt idx="251" c:formatCode="dd/mm/yy">
                  <c:v>46012</c:v>
                </c:pt>
                <c:pt idx="252" c:formatCode="dd/mm/yy">
                  <c:v>46013</c:v>
                </c:pt>
                <c:pt idx="253" c:formatCode="dd/mm/yy">
                  <c:v>46014</c:v>
                </c:pt>
                <c:pt idx="254" c:formatCode="dd/mm/yy">
                  <c:v>46015</c:v>
                </c:pt>
                <c:pt idx="255" c:formatCode="dd/mm/yy">
                  <c:v>46016</c:v>
                </c:pt>
                <c:pt idx="256" c:formatCode="dd/mm/yy">
                  <c:v>46017</c:v>
                </c:pt>
                <c:pt idx="257" c:formatCode="dd/mm/yy">
                  <c:v>46018</c:v>
                </c:pt>
                <c:pt idx="258" c:formatCode="dd/mm/yy">
                  <c:v>46019</c:v>
                </c:pt>
                <c:pt idx="259" c:formatCode="dd/mm/yy">
                  <c:v>46020</c:v>
                </c:pt>
                <c:pt idx="260" c:formatCode="dd/mm/yy">
                  <c:v>46021</c:v>
                </c:pt>
                <c:pt idx="261" c:formatCode="dd/mm/yy">
                  <c:v>46022</c:v>
                </c:pt>
                <c:pt idx="262" c:formatCode="dd/mm/yy">
                  <c:v>46023</c:v>
                </c:pt>
                <c:pt idx="263" c:formatCode="dd/mm/yy">
                  <c:v>46024</c:v>
                </c:pt>
                <c:pt idx="264" c:formatCode="dd/mm/yy">
                  <c:v>46025</c:v>
                </c:pt>
                <c:pt idx="265" c:formatCode="dd/mm/yy">
                  <c:v>46026</c:v>
                </c:pt>
                <c:pt idx="266" c:formatCode="dd/mm/yy">
                  <c:v>46027</c:v>
                </c:pt>
                <c:pt idx="267" c:formatCode="dd/mm/yy">
                  <c:v>46028</c:v>
                </c:pt>
                <c:pt idx="268" c:formatCode="dd/mm/yy">
                  <c:v>46029</c:v>
                </c:pt>
                <c:pt idx="269" c:formatCode="dd/mm/yy">
                  <c:v>46030</c:v>
                </c:pt>
                <c:pt idx="270" c:formatCode="dd/mm/yy">
                  <c:v>46031</c:v>
                </c:pt>
                <c:pt idx="271" c:formatCode="dd/mm/yy">
                  <c:v>46032</c:v>
                </c:pt>
                <c:pt idx="272" c:formatCode="dd/mm/yy">
                  <c:v>46033</c:v>
                </c:pt>
                <c:pt idx="273" c:formatCode="dd/mm/yy">
                  <c:v>46034</c:v>
                </c:pt>
                <c:pt idx="274" c:formatCode="dd/mm/yy">
                  <c:v>46035</c:v>
                </c:pt>
                <c:pt idx="275" c:formatCode="dd/mm/yy">
                  <c:v>46036</c:v>
                </c:pt>
                <c:pt idx="276" c:formatCode="dd/mm/yy">
                  <c:v>46037</c:v>
                </c:pt>
                <c:pt idx="277" c:formatCode="dd/mm/yy">
                  <c:v>46038</c:v>
                </c:pt>
                <c:pt idx="278" c:formatCode="dd/mm/yy">
                  <c:v>46039</c:v>
                </c:pt>
                <c:pt idx="279" c:formatCode="dd/mm/yy">
                  <c:v>46040</c:v>
                </c:pt>
                <c:pt idx="280" c:formatCode="dd/mm/yy">
                  <c:v>46041</c:v>
                </c:pt>
                <c:pt idx="281" c:formatCode="dd/mm/yy">
                  <c:v>46042</c:v>
                </c:pt>
                <c:pt idx="282" c:formatCode="dd/mm/yy">
                  <c:v>46043</c:v>
                </c:pt>
                <c:pt idx="283" c:formatCode="dd/mm/yy">
                  <c:v>46044</c:v>
                </c:pt>
                <c:pt idx="284" c:formatCode="dd/mm/yy">
                  <c:v>46045</c:v>
                </c:pt>
                <c:pt idx="285" c:formatCode="dd/mm/yy">
                  <c:v>46046</c:v>
                </c:pt>
                <c:pt idx="286" c:formatCode="dd/mm/yy">
                  <c:v>46047</c:v>
                </c:pt>
                <c:pt idx="287" c:formatCode="dd/mm/yy">
                  <c:v>46048</c:v>
                </c:pt>
                <c:pt idx="288" c:formatCode="dd/mm/yy">
                  <c:v>46049</c:v>
                </c:pt>
                <c:pt idx="289" c:formatCode="dd/mm/yy">
                  <c:v>46050</c:v>
                </c:pt>
                <c:pt idx="290" c:formatCode="dd/mm/yy">
                  <c:v>46051</c:v>
                </c:pt>
                <c:pt idx="291" c:formatCode="dd/mm/yy">
                  <c:v>46052</c:v>
                </c:pt>
                <c:pt idx="292" c:formatCode="dd/mm/yy">
                  <c:v>46053</c:v>
                </c:pt>
                <c:pt idx="293" c:formatCode="dd/mm/yy">
                  <c:v>46054</c:v>
                </c:pt>
                <c:pt idx="294" c:formatCode="dd/mm/yy">
                  <c:v>46055</c:v>
                </c:pt>
                <c:pt idx="295" c:formatCode="dd/mm/yy">
                  <c:v>46056</c:v>
                </c:pt>
                <c:pt idx="296" c:formatCode="dd/mm/yy">
                  <c:v>46057</c:v>
                </c:pt>
                <c:pt idx="297" c:formatCode="dd/mm/yy">
                  <c:v>46058</c:v>
                </c:pt>
                <c:pt idx="298" c:formatCode="dd/mm/yy">
                  <c:v>46059</c:v>
                </c:pt>
                <c:pt idx="299" c:formatCode="dd/mm/yy">
                  <c:v>46060</c:v>
                </c:pt>
                <c:pt idx="300" c:formatCode="dd/mm/yy">
                  <c:v>46061</c:v>
                </c:pt>
                <c:pt idx="301" c:formatCode="dd/mm/yy">
                  <c:v>46062</c:v>
                </c:pt>
                <c:pt idx="302" c:formatCode="dd/mm/yy">
                  <c:v>46063</c:v>
                </c:pt>
                <c:pt idx="303" c:formatCode="dd/mm/yy">
                  <c:v>46064</c:v>
                </c:pt>
                <c:pt idx="304" c:formatCode="dd/mm/yy">
                  <c:v>46065</c:v>
                </c:pt>
                <c:pt idx="305" c:formatCode="dd/mm/yy">
                  <c:v>46066</c:v>
                </c:pt>
                <c:pt idx="306" c:formatCode="dd/mm/yy">
                  <c:v>46067</c:v>
                </c:pt>
                <c:pt idx="307" c:formatCode="dd/mm/yy">
                  <c:v>46068</c:v>
                </c:pt>
                <c:pt idx="308" c:formatCode="dd/mm/yy">
                  <c:v>46069</c:v>
                </c:pt>
                <c:pt idx="309" c:formatCode="dd/mm/yy">
                  <c:v>46070</c:v>
                </c:pt>
                <c:pt idx="310" c:formatCode="dd/mm/yy">
                  <c:v>46071</c:v>
                </c:pt>
                <c:pt idx="311" c:formatCode="dd/mm/yy">
                  <c:v>46072</c:v>
                </c:pt>
                <c:pt idx="312" c:formatCode="dd/mm/yy">
                  <c:v>46073</c:v>
                </c:pt>
                <c:pt idx="313" c:formatCode="dd/mm/yy">
                  <c:v>46074</c:v>
                </c:pt>
                <c:pt idx="314" c:formatCode="dd/mm/yy">
                  <c:v>46075</c:v>
                </c:pt>
                <c:pt idx="315" c:formatCode="dd/mm/yy">
                  <c:v>46076</c:v>
                </c:pt>
                <c:pt idx="316" c:formatCode="dd/mm/yy">
                  <c:v>46077</c:v>
                </c:pt>
                <c:pt idx="317" c:formatCode="dd/mm/yy">
                  <c:v>46078</c:v>
                </c:pt>
                <c:pt idx="318" c:formatCode="dd/mm/yy">
                  <c:v>46079</c:v>
                </c:pt>
              </c:numCache>
            </c:numRef>
          </c:cat>
          <c:val>
            <c:numRef>
              <c:f>Sheet1!$D$2:$D$320</c:f>
              <c:numCache>
                <c:formatCode>General</c:formatCode>
                <c:ptCount val="319"/>
                <c:pt idx="0">
                  <c:v>1.75</c:v>
                </c:pt>
                <c:pt idx="1">
                  <c:v>2.25</c:v>
                </c:pt>
                <c:pt idx="2">
                  <c:v>7.93</c:v>
                </c:pt>
                <c:pt idx="3">
                  <c:v>8.03</c:v>
                </c:pt>
                <c:pt idx="4">
                  <c:v>8.03</c:v>
                </c:pt>
                <c:pt idx="5">
                  <c:v>8.03</c:v>
                </c:pt>
                <c:pt idx="6">
                  <c:v>8.03</c:v>
                </c:pt>
                <c:pt idx="7">
                  <c:v>8.03</c:v>
                </c:pt>
                <c:pt idx="8">
                  <c:v>8.03</c:v>
                </c:pt>
                <c:pt idx="9">
                  <c:v>8.03</c:v>
                </c:pt>
                <c:pt idx="10">
                  <c:v>8.03</c:v>
                </c:pt>
                <c:pt idx="11">
                  <c:v>8.03</c:v>
                </c:pt>
                <c:pt idx="12">
                  <c:v>8.03</c:v>
                </c:pt>
                <c:pt idx="13">
                  <c:v>8.03</c:v>
                </c:pt>
                <c:pt idx="14">
                  <c:v>8.03</c:v>
                </c:pt>
                <c:pt idx="15">
                  <c:v>8.03</c:v>
                </c:pt>
                <c:pt idx="16">
                  <c:v>8.08</c:v>
                </c:pt>
                <c:pt idx="17">
                  <c:v>8.08</c:v>
                </c:pt>
                <c:pt idx="18">
                  <c:v>8.08</c:v>
                </c:pt>
                <c:pt idx="19">
                  <c:v>8.08</c:v>
                </c:pt>
                <c:pt idx="20">
                  <c:v>8.08</c:v>
                </c:pt>
                <c:pt idx="21">
                  <c:v>8.08</c:v>
                </c:pt>
                <c:pt idx="22">
                  <c:v>8.09</c:v>
                </c:pt>
                <c:pt idx="23">
                  <c:v>8.29</c:v>
                </c:pt>
                <c:pt idx="24">
                  <c:v>8.29</c:v>
                </c:pt>
                <c:pt idx="25">
                  <c:v>8.29</c:v>
                </c:pt>
                <c:pt idx="26">
                  <c:v>8.29</c:v>
                </c:pt>
                <c:pt idx="27">
                  <c:v>8.31</c:v>
                </c:pt>
                <c:pt idx="28">
                  <c:v>8.91</c:v>
                </c:pt>
                <c:pt idx="29">
                  <c:v>8.91</c:v>
                </c:pt>
                <c:pt idx="30">
                  <c:v>8.91</c:v>
                </c:pt>
                <c:pt idx="31">
                  <c:v>8.91</c:v>
                </c:pt>
                <c:pt idx="32">
                  <c:v>8.92</c:v>
                </c:pt>
                <c:pt idx="33">
                  <c:v>8.92</c:v>
                </c:pt>
                <c:pt idx="34">
                  <c:v>8.92</c:v>
                </c:pt>
                <c:pt idx="35">
                  <c:v>8.92</c:v>
                </c:pt>
                <c:pt idx="36">
                  <c:v>8.92</c:v>
                </c:pt>
                <c:pt idx="37">
                  <c:v>8.92</c:v>
                </c:pt>
                <c:pt idx="38">
                  <c:v>10.18</c:v>
                </c:pt>
                <c:pt idx="39">
                  <c:v>14.18</c:v>
                </c:pt>
                <c:pt idx="40">
                  <c:v>14.18</c:v>
                </c:pt>
                <c:pt idx="41">
                  <c:v>14.18</c:v>
                </c:pt>
                <c:pt idx="42">
                  <c:v>14.18</c:v>
                </c:pt>
                <c:pt idx="43">
                  <c:v>14.18</c:v>
                </c:pt>
                <c:pt idx="44">
                  <c:v>14.18</c:v>
                </c:pt>
                <c:pt idx="45">
                  <c:v>14.18</c:v>
                </c:pt>
                <c:pt idx="46">
                  <c:v>14.18</c:v>
                </c:pt>
                <c:pt idx="47">
                  <c:v>14.18</c:v>
                </c:pt>
                <c:pt idx="48">
                  <c:v>14.18</c:v>
                </c:pt>
                <c:pt idx="49">
                  <c:v>14.18</c:v>
                </c:pt>
                <c:pt idx="50">
                  <c:v>14.18</c:v>
                </c:pt>
                <c:pt idx="51">
                  <c:v>14.18</c:v>
                </c:pt>
                <c:pt idx="52">
                  <c:v>14.18</c:v>
                </c:pt>
                <c:pt idx="53">
                  <c:v>14.18</c:v>
                </c:pt>
                <c:pt idx="54">
                  <c:v>14.18</c:v>
                </c:pt>
                <c:pt idx="55">
                  <c:v>14.18</c:v>
                </c:pt>
                <c:pt idx="56">
                  <c:v>14.18</c:v>
                </c:pt>
                <c:pt idx="57">
                  <c:v>14.18</c:v>
                </c:pt>
                <c:pt idx="58">
                  <c:v>14.18</c:v>
                </c:pt>
                <c:pt idx="59">
                  <c:v>14.18</c:v>
                </c:pt>
                <c:pt idx="60">
                  <c:v>14.18</c:v>
                </c:pt>
                <c:pt idx="61">
                  <c:v>14.18</c:v>
                </c:pt>
                <c:pt idx="62">
                  <c:v>14.18</c:v>
                </c:pt>
                <c:pt idx="63">
                  <c:v>14.18</c:v>
                </c:pt>
                <c:pt idx="64">
                  <c:v>14.18</c:v>
                </c:pt>
                <c:pt idx="65">
                  <c:v>14.18</c:v>
                </c:pt>
                <c:pt idx="66">
                  <c:v>14.18</c:v>
                </c:pt>
                <c:pt idx="67">
                  <c:v>14.18</c:v>
                </c:pt>
                <c:pt idx="68">
                  <c:v>14.18</c:v>
                </c:pt>
                <c:pt idx="69">
                  <c:v>14.18</c:v>
                </c:pt>
                <c:pt idx="70">
                  <c:v>14.18</c:v>
                </c:pt>
                <c:pt idx="71">
                  <c:v>14.18</c:v>
                </c:pt>
                <c:pt idx="72">
                  <c:v>14.18</c:v>
                </c:pt>
                <c:pt idx="73">
                  <c:v>14.18</c:v>
                </c:pt>
                <c:pt idx="74">
                  <c:v>14.18</c:v>
                </c:pt>
                <c:pt idx="75">
                  <c:v>14.18</c:v>
                </c:pt>
                <c:pt idx="76">
                  <c:v>14.18</c:v>
                </c:pt>
                <c:pt idx="77">
                  <c:v>14.18</c:v>
                </c:pt>
                <c:pt idx="78">
                  <c:v>14.18</c:v>
                </c:pt>
                <c:pt idx="79">
                  <c:v>14.18</c:v>
                </c:pt>
                <c:pt idx="80">
                  <c:v>14.18</c:v>
                </c:pt>
                <c:pt idx="81">
                  <c:v>14.18</c:v>
                </c:pt>
                <c:pt idx="82">
                  <c:v>14.18</c:v>
                </c:pt>
                <c:pt idx="83">
                  <c:v>14.18</c:v>
                </c:pt>
                <c:pt idx="84">
                  <c:v>14.18</c:v>
                </c:pt>
                <c:pt idx="85">
                  <c:v>14.18</c:v>
                </c:pt>
                <c:pt idx="86">
                  <c:v>14.18</c:v>
                </c:pt>
                <c:pt idx="87">
                  <c:v>14.18</c:v>
                </c:pt>
                <c:pt idx="88">
                  <c:v>14.18</c:v>
                </c:pt>
                <c:pt idx="89">
                  <c:v>14.18</c:v>
                </c:pt>
                <c:pt idx="90">
                  <c:v>14.18</c:v>
                </c:pt>
                <c:pt idx="91">
                  <c:v>14.18</c:v>
                </c:pt>
                <c:pt idx="92">
                  <c:v>14.18</c:v>
                </c:pt>
                <c:pt idx="93">
                  <c:v>14.18</c:v>
                </c:pt>
                <c:pt idx="94">
                  <c:v>14.18</c:v>
                </c:pt>
                <c:pt idx="95">
                  <c:v>14.18</c:v>
                </c:pt>
                <c:pt idx="96">
                  <c:v>14.18</c:v>
                </c:pt>
                <c:pt idx="97">
                  <c:v>14.18</c:v>
                </c:pt>
                <c:pt idx="98">
                  <c:v>14.18</c:v>
                </c:pt>
                <c:pt idx="99">
                  <c:v>14.18</c:v>
                </c:pt>
                <c:pt idx="100">
                  <c:v>14.18</c:v>
                </c:pt>
                <c:pt idx="101">
                  <c:v>14.18</c:v>
                </c:pt>
                <c:pt idx="102">
                  <c:v>14.18</c:v>
                </c:pt>
                <c:pt idx="103">
                  <c:v>14.18</c:v>
                </c:pt>
                <c:pt idx="104">
                  <c:v>14.18</c:v>
                </c:pt>
                <c:pt idx="105">
                  <c:v>14.18</c:v>
                </c:pt>
                <c:pt idx="106">
                  <c:v>14.18</c:v>
                </c:pt>
                <c:pt idx="107">
                  <c:v>14.18</c:v>
                </c:pt>
                <c:pt idx="108">
                  <c:v>14.18</c:v>
                </c:pt>
                <c:pt idx="109">
                  <c:v>14.18</c:v>
                </c:pt>
                <c:pt idx="110">
                  <c:v>14.18</c:v>
                </c:pt>
                <c:pt idx="111">
                  <c:v>14.18</c:v>
                </c:pt>
                <c:pt idx="112">
                  <c:v>14.18</c:v>
                </c:pt>
                <c:pt idx="113">
                  <c:v>14.18</c:v>
                </c:pt>
                <c:pt idx="114">
                  <c:v>14.18</c:v>
                </c:pt>
                <c:pt idx="115">
                  <c:v>14.18</c:v>
                </c:pt>
                <c:pt idx="116">
                  <c:v>14.18</c:v>
                </c:pt>
                <c:pt idx="117">
                  <c:v>14.18</c:v>
                </c:pt>
                <c:pt idx="118">
                  <c:v>14.18</c:v>
                </c:pt>
                <c:pt idx="119">
                  <c:v>14.18</c:v>
                </c:pt>
                <c:pt idx="120">
                  <c:v>14.18</c:v>
                </c:pt>
                <c:pt idx="121">
                  <c:v>14.68</c:v>
                </c:pt>
                <c:pt idx="122">
                  <c:v>14.69</c:v>
                </c:pt>
                <c:pt idx="123">
                  <c:v>14.7</c:v>
                </c:pt>
                <c:pt idx="124">
                  <c:v>14.7</c:v>
                </c:pt>
                <c:pt idx="125">
                  <c:v>14.7</c:v>
                </c:pt>
                <c:pt idx="126">
                  <c:v>14.7</c:v>
                </c:pt>
                <c:pt idx="127">
                  <c:v>14.7</c:v>
                </c:pt>
                <c:pt idx="128">
                  <c:v>14.7</c:v>
                </c:pt>
                <c:pt idx="129">
                  <c:v>14.7</c:v>
                </c:pt>
                <c:pt idx="130">
                  <c:v>14.7</c:v>
                </c:pt>
                <c:pt idx="131">
                  <c:v>14.7</c:v>
                </c:pt>
                <c:pt idx="132">
                  <c:v>14.7</c:v>
                </c:pt>
                <c:pt idx="133">
                  <c:v>14.7</c:v>
                </c:pt>
                <c:pt idx="134">
                  <c:v>14.7</c:v>
                </c:pt>
                <c:pt idx="135">
                  <c:v>14.7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14.7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14.7</c:v>
                </c:pt>
                <c:pt idx="173">
                  <c:v>14.7</c:v>
                </c:pt>
                <c:pt idx="174">
                  <c:v>14.7</c:v>
                </c:pt>
                <c:pt idx="175">
                  <c:v>14.7</c:v>
                </c:pt>
                <c:pt idx="176">
                  <c:v>14.7</c:v>
                </c:pt>
                <c:pt idx="177">
                  <c:v>14.7</c:v>
                </c:pt>
                <c:pt idx="178">
                  <c:v>14.7</c:v>
                </c:pt>
                <c:pt idx="179">
                  <c:v>14.7</c:v>
                </c:pt>
                <c:pt idx="180">
                  <c:v>14.7</c:v>
                </c:pt>
                <c:pt idx="181">
                  <c:v>14.7</c:v>
                </c:pt>
                <c:pt idx="182">
                  <c:v>14.7</c:v>
                </c:pt>
                <c:pt idx="183">
                  <c:v>14.7</c:v>
                </c:pt>
                <c:pt idx="184">
                  <c:v>14.7</c:v>
                </c:pt>
                <c:pt idx="185">
                  <c:v>14.7</c:v>
                </c:pt>
                <c:pt idx="186">
                  <c:v>14.7</c:v>
                </c:pt>
                <c:pt idx="187">
                  <c:v>14.7</c:v>
                </c:pt>
                <c:pt idx="188">
                  <c:v>14.7</c:v>
                </c:pt>
                <c:pt idx="189">
                  <c:v>14.7</c:v>
                </c:pt>
                <c:pt idx="190">
                  <c:v>14.7</c:v>
                </c:pt>
                <c:pt idx="191">
                  <c:v>14.7</c:v>
                </c:pt>
                <c:pt idx="192">
                  <c:v>14.7</c:v>
                </c:pt>
                <c:pt idx="193">
                  <c:v>14.7</c:v>
                </c:pt>
                <c:pt idx="194">
                  <c:v>14.7</c:v>
                </c:pt>
                <c:pt idx="195">
                  <c:v>14.7</c:v>
                </c:pt>
                <c:pt idx="196">
                  <c:v>14.7</c:v>
                </c:pt>
                <c:pt idx="197">
                  <c:v>14.7</c:v>
                </c:pt>
                <c:pt idx="198">
                  <c:v>14.7</c:v>
                </c:pt>
                <c:pt idx="199">
                  <c:v>14.7</c:v>
                </c:pt>
                <c:pt idx="200">
                  <c:v>14.7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14.7</c:v>
                </c:pt>
                <c:pt idx="206">
                  <c:v>14.7</c:v>
                </c:pt>
                <c:pt idx="207">
                  <c:v>14.7</c:v>
                </c:pt>
                <c:pt idx="208">
                  <c:v>14.7</c:v>
                </c:pt>
                <c:pt idx="209">
                  <c:v>14.7</c:v>
                </c:pt>
                <c:pt idx="210">
                  <c:v>14.7</c:v>
                </c:pt>
                <c:pt idx="211">
                  <c:v>14.7</c:v>
                </c:pt>
                <c:pt idx="212">
                  <c:v>14.7</c:v>
                </c:pt>
                <c:pt idx="213">
                  <c:v>14.7</c:v>
                </c:pt>
                <c:pt idx="214">
                  <c:v>14.7</c:v>
                </c:pt>
                <c:pt idx="215">
                  <c:v>14.7</c:v>
                </c:pt>
                <c:pt idx="216">
                  <c:v>14.7</c:v>
                </c:pt>
                <c:pt idx="217">
                  <c:v>14.7</c:v>
                </c:pt>
                <c:pt idx="218">
                  <c:v>14.7</c:v>
                </c:pt>
                <c:pt idx="219">
                  <c:v>14.7</c:v>
                </c:pt>
                <c:pt idx="220">
                  <c:v>14.7</c:v>
                </c:pt>
                <c:pt idx="221">
                  <c:v>14.7</c:v>
                </c:pt>
                <c:pt idx="222">
                  <c:v>14.7</c:v>
                </c:pt>
                <c:pt idx="223">
                  <c:v>14.7</c:v>
                </c:pt>
                <c:pt idx="224">
                  <c:v>14.7</c:v>
                </c:pt>
                <c:pt idx="225">
                  <c:v>14.7</c:v>
                </c:pt>
                <c:pt idx="226">
                  <c:v>14.7</c:v>
                </c:pt>
                <c:pt idx="227">
                  <c:v>14.7</c:v>
                </c:pt>
                <c:pt idx="228">
                  <c:v>14.7</c:v>
                </c:pt>
                <c:pt idx="229">
                  <c:v>14.7</c:v>
                </c:pt>
                <c:pt idx="230">
                  <c:v>14.7</c:v>
                </c:pt>
                <c:pt idx="231">
                  <c:v>14.7</c:v>
                </c:pt>
                <c:pt idx="232">
                  <c:v>14.7</c:v>
                </c:pt>
                <c:pt idx="233">
                  <c:v>14.7</c:v>
                </c:pt>
                <c:pt idx="234">
                  <c:v>14.7</c:v>
                </c:pt>
                <c:pt idx="235">
                  <c:v>14.7</c:v>
                </c:pt>
                <c:pt idx="236">
                  <c:v>14.7</c:v>
                </c:pt>
                <c:pt idx="237">
                  <c:v>14.7</c:v>
                </c:pt>
                <c:pt idx="238">
                  <c:v>14.7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14.7</c:v>
                </c:pt>
                <c:pt idx="256">
                  <c:v>14.7</c:v>
                </c:pt>
                <c:pt idx="257">
                  <c:v>14.7</c:v>
                </c:pt>
                <c:pt idx="258">
                  <c:v>14.7</c:v>
                </c:pt>
                <c:pt idx="259">
                  <c:v>14.7</c:v>
                </c:pt>
                <c:pt idx="260">
                  <c:v>14.7</c:v>
                </c:pt>
                <c:pt idx="261">
                  <c:v>14.7</c:v>
                </c:pt>
                <c:pt idx="262">
                  <c:v>14.7</c:v>
                </c:pt>
                <c:pt idx="263">
                  <c:v>14.7</c:v>
                </c:pt>
                <c:pt idx="264">
                  <c:v>14.7</c:v>
                </c:pt>
                <c:pt idx="265">
                  <c:v>14.7</c:v>
                </c:pt>
                <c:pt idx="266">
                  <c:v>14.7</c:v>
                </c:pt>
                <c:pt idx="267">
                  <c:v>14.7</c:v>
                </c:pt>
                <c:pt idx="268">
                  <c:v>14.7</c:v>
                </c:pt>
                <c:pt idx="269">
                  <c:v>14.7</c:v>
                </c:pt>
                <c:pt idx="270">
                  <c:v>14.7</c:v>
                </c:pt>
                <c:pt idx="271">
                  <c:v>14.7</c:v>
                </c:pt>
                <c:pt idx="272">
                  <c:v>14.7</c:v>
                </c:pt>
                <c:pt idx="273">
                  <c:v>14.7</c:v>
                </c:pt>
                <c:pt idx="274">
                  <c:v>14.7</c:v>
                </c:pt>
                <c:pt idx="275">
                  <c:v>14.7</c:v>
                </c:pt>
                <c:pt idx="276">
                  <c:v>14.7</c:v>
                </c:pt>
                <c:pt idx="277">
                  <c:v>14.7</c:v>
                </c:pt>
                <c:pt idx="278">
                  <c:v>14.7</c:v>
                </c:pt>
                <c:pt idx="279">
                  <c:v>14.7</c:v>
                </c:pt>
                <c:pt idx="280">
                  <c:v>14.7</c:v>
                </c:pt>
                <c:pt idx="281">
                  <c:v>14.7</c:v>
                </c:pt>
                <c:pt idx="282">
                  <c:v>14.7</c:v>
                </c:pt>
                <c:pt idx="283">
                  <c:v>14.7</c:v>
                </c:pt>
                <c:pt idx="284">
                  <c:v>14.7</c:v>
                </c:pt>
                <c:pt idx="285">
                  <c:v>14.7</c:v>
                </c:pt>
                <c:pt idx="286">
                  <c:v>14.7</c:v>
                </c:pt>
                <c:pt idx="287">
                  <c:v>14.7</c:v>
                </c:pt>
                <c:pt idx="288">
                  <c:v>14.7</c:v>
                </c:pt>
                <c:pt idx="289">
                  <c:v>14.7</c:v>
                </c:pt>
                <c:pt idx="290">
                  <c:v>14.7</c:v>
                </c:pt>
                <c:pt idx="291">
                  <c:v>14.7</c:v>
                </c:pt>
                <c:pt idx="292">
                  <c:v>14.7</c:v>
                </c:pt>
                <c:pt idx="293">
                  <c:v>14.7</c:v>
                </c:pt>
                <c:pt idx="294">
                  <c:v>14.7</c:v>
                </c:pt>
                <c:pt idx="295">
                  <c:v>14.7</c:v>
                </c:pt>
                <c:pt idx="296">
                  <c:v>15.2</c:v>
                </c:pt>
                <c:pt idx="297">
                  <c:v>15.2</c:v>
                </c:pt>
                <c:pt idx="298">
                  <c:v>15.2</c:v>
                </c:pt>
                <c:pt idx="299">
                  <c:v>15.2</c:v>
                </c:pt>
                <c:pt idx="300">
                  <c:v>15.25</c:v>
                </c:pt>
                <c:pt idx="301">
                  <c:v>15.25</c:v>
                </c:pt>
                <c:pt idx="302">
                  <c:v>15.25</c:v>
                </c:pt>
                <c:pt idx="303">
                  <c:v>15.25</c:v>
                </c:pt>
                <c:pt idx="304">
                  <c:v>15.25</c:v>
                </c:pt>
                <c:pt idx="305">
                  <c:v>15.25</c:v>
                </c:pt>
                <c:pt idx="306">
                  <c:v>15.25</c:v>
                </c:pt>
                <c:pt idx="307">
                  <c:v>15.25</c:v>
                </c:pt>
                <c:pt idx="308">
                  <c:v>15.25</c:v>
                </c:pt>
                <c:pt idx="309">
                  <c:v>15.25</c:v>
                </c:pt>
                <c:pt idx="310">
                  <c:v>15.25</c:v>
                </c:pt>
                <c:pt idx="311">
                  <c:v>15.25</c:v>
                </c:pt>
                <c:pt idx="312">
                  <c:v>15.25</c:v>
                </c:pt>
                <c:pt idx="313">
                  <c:v>15.25</c:v>
                </c:pt>
                <c:pt idx="314">
                  <c:v>15.25</c:v>
                </c:pt>
                <c:pt idx="315">
                  <c:v>15.35</c:v>
                </c:pt>
                <c:pt idx="316">
                  <c:v>15.35</c:v>
                </c:pt>
                <c:pt idx="317">
                  <c:v>15.35</c:v>
                </c:pt>
                <c:pt idx="318">
                  <c:v>15.35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41376"/>
        <c:axId val="88045056"/>
      </c:lineChart>
      <c:dateAx>
        <c:axId val="835413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date</a:t>
                </a:r>
                <a:endParaRPr lang="fr-F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dd/mm/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8045056"/>
        <c:crosses val="autoZero"/>
        <c:auto val="1"/>
        <c:lblOffset val="100"/>
        <c:baseTimeUnit val="days"/>
      </c:dateAx>
      <c:valAx>
        <c:axId val="880450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cross"/>
        <c:minorTickMark val="cross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54137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f908b6-445d-40be-b626-66eee047a3bf}"/>
      </c:ext>
    </c:extLst>
  </c:chart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84999</xdr:colOff>
      <xdr:row>0</xdr:row>
      <xdr:rowOff>0</xdr:rowOff>
    </xdr:from>
    <xdr:to>
      <xdr:col>19</xdr:col>
      <xdr:colOff>192499</xdr:colOff>
      <xdr:row>16</xdr:row>
      <xdr:rowOff>208731</xdr:rowOff>
    </xdr:to>
    <xdr:graphicFrame>
      <xdr:nvGraphicFramePr>
        <xdr:cNvPr id="2" name="图表 1"/>
        <xdr:cNvGraphicFramePr/>
      </xdr:nvGraphicFramePr>
      <xdr:xfrm>
        <a:off x="7412990" y="0"/>
        <a:ext cx="9579610" cy="478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18</xdr:col>
      <xdr:colOff>88333</xdr:colOff>
      <xdr:row>34</xdr:row>
      <xdr:rowOff>8929</xdr:rowOff>
    </xdr:to>
    <xdr:graphicFrame>
      <xdr:nvGraphicFramePr>
        <xdr:cNvPr id="3" name="图表 2"/>
        <xdr:cNvGraphicFramePr/>
      </xdr:nvGraphicFramePr>
      <xdr:xfrm>
        <a:off x="9050655" y="5143500"/>
        <a:ext cx="6976745" cy="458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36</xdr:row>
      <xdr:rowOff>0</xdr:rowOff>
    </xdr:from>
    <xdr:to>
      <xdr:col>17</xdr:col>
      <xdr:colOff>88333</xdr:colOff>
      <xdr:row>52</xdr:row>
      <xdr:rowOff>8929</xdr:rowOff>
    </xdr:to>
    <xdr:graphicFrame>
      <xdr:nvGraphicFramePr>
        <xdr:cNvPr id="4" name="图表 3"/>
        <xdr:cNvGraphicFramePr/>
      </xdr:nvGraphicFramePr>
      <xdr:xfrm>
        <a:off x="8189595" y="10287000"/>
        <a:ext cx="6976745" cy="458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55</xdr:row>
      <xdr:rowOff>0</xdr:rowOff>
    </xdr:from>
    <xdr:to>
      <xdr:col>18</xdr:col>
      <xdr:colOff>88333</xdr:colOff>
      <xdr:row>71</xdr:row>
      <xdr:rowOff>8929</xdr:rowOff>
    </xdr:to>
    <xdr:graphicFrame>
      <xdr:nvGraphicFramePr>
        <xdr:cNvPr id="5" name="图表 4"/>
        <xdr:cNvGraphicFramePr/>
      </xdr:nvGraphicFramePr>
      <xdr:xfrm>
        <a:off x="9050655" y="15716250"/>
        <a:ext cx="6976745" cy="458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H320">
  <tableColumns count="8">
    <tableColumn id="1" name="date" dataDxfId="0"/>
    <tableColumn id="2" name="recettes" dataDxfId="1"/>
    <tableColumn id="3" name="dépenses" dataDxfId="2"/>
    <tableColumn id="4" name="total par jour" dataDxfId="3">
      <calculatedColumnFormula>B2-C2+D1</calculatedColumnFormula>
    </tableColumn>
    <tableColumn id="5" name="total" dataDxfId="4"/>
    <tableColumn id="6" name="dispo" dataDxfId="5"/>
    <tableColumn id="7" name="pieces" dataDxfId="6"/>
    <tableColumn id="8" name="nombre" dataDxfId="7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0"/>
  <sheetViews>
    <sheetView tabSelected="1" zoomScale="57" zoomScaleNormal="57" workbookViewId="0">
      <pane ySplit="1" topLeftCell="A2" activePane="bottomLeft" state="frozen"/>
      <selection/>
      <selection pane="bottomLeft" activeCell="B317" sqref="B317"/>
    </sheetView>
  </sheetViews>
  <sheetFormatPr defaultColWidth="12" defaultRowHeight="15.75" customHeight="1" outlineLevelCol="7"/>
  <cols>
    <col min="4" max="4" width="18.1327433628319" customWidth="1"/>
  </cols>
  <sheetData>
    <row r="1" ht="22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 spans="1:8">
      <c r="A2" s="3">
        <v>45761</v>
      </c>
      <c r="B2" s="4">
        <v>1.75</v>
      </c>
      <c r="C2" s="4">
        <v>0</v>
      </c>
      <c r="D2" s="4">
        <f>B2-C2</f>
        <v>1.75</v>
      </c>
      <c r="E2" s="4">
        <f>(SUM(B2:B1000)-SUM(C2:C1000)+Sheet2!F2)</f>
        <v>15.35</v>
      </c>
      <c r="F2" s="4">
        <f>0.8*E2</f>
        <v>12.28</v>
      </c>
      <c r="G2" s="4">
        <v>500</v>
      </c>
      <c r="H2" s="4">
        <v>0</v>
      </c>
    </row>
    <row r="3" ht="22.5" customHeight="1" spans="1:8">
      <c r="A3" s="3">
        <v>45762</v>
      </c>
      <c r="B3" s="4">
        <f>2.25-1.75</f>
        <v>0.5</v>
      </c>
      <c r="C3" s="4">
        <v>0</v>
      </c>
      <c r="D3" s="4">
        <f t="shared" ref="D3:D257" si="0">B3-C3+D2</f>
        <v>2.25</v>
      </c>
      <c r="F3" s="4">
        <f>IF(Sheet2!B3&lt;0,F2-Sheet2!B3,F2)</f>
        <v>12.28</v>
      </c>
      <c r="G3" s="4">
        <v>200</v>
      </c>
      <c r="H3" s="4">
        <v>0</v>
      </c>
    </row>
    <row r="4" ht="22.5" customHeight="1" spans="1:8">
      <c r="A4" s="3">
        <v>45763</v>
      </c>
      <c r="B4" s="4">
        <f>7.93-2.25</f>
        <v>5.68</v>
      </c>
      <c r="C4" s="4">
        <v>0</v>
      </c>
      <c r="D4" s="4">
        <f t="shared" si="0"/>
        <v>7.93</v>
      </c>
      <c r="G4" s="4">
        <v>100</v>
      </c>
      <c r="H4" s="4">
        <v>0</v>
      </c>
    </row>
    <row r="5" ht="22.5" customHeight="1" spans="1:8">
      <c r="A5" s="3">
        <v>45764</v>
      </c>
      <c r="B5" s="4">
        <v>0.1</v>
      </c>
      <c r="C5" s="4">
        <v>0</v>
      </c>
      <c r="D5" s="4">
        <f t="shared" si="0"/>
        <v>8.03</v>
      </c>
      <c r="G5" s="4">
        <v>50</v>
      </c>
      <c r="H5" s="4">
        <v>0</v>
      </c>
    </row>
    <row r="6" ht="22.5" customHeight="1" spans="1:8">
      <c r="A6" s="3">
        <v>45765</v>
      </c>
      <c r="B6" s="4"/>
      <c r="C6" s="4">
        <v>0</v>
      </c>
      <c r="D6" s="4">
        <f t="shared" si="0"/>
        <v>8.03</v>
      </c>
      <c r="G6" s="4">
        <v>20</v>
      </c>
      <c r="H6" s="4">
        <v>0</v>
      </c>
    </row>
    <row r="7" ht="22.5" customHeight="1" spans="1:8">
      <c r="A7" s="3">
        <v>45766</v>
      </c>
      <c r="B7" s="4"/>
      <c r="C7" s="4">
        <v>0</v>
      </c>
      <c r="D7" s="4">
        <f t="shared" si="0"/>
        <v>8.03</v>
      </c>
      <c r="G7" s="4">
        <v>10</v>
      </c>
      <c r="H7" s="4">
        <v>0</v>
      </c>
    </row>
    <row r="8" ht="22.5" customHeight="1" spans="1:8">
      <c r="A8" s="3">
        <v>45767</v>
      </c>
      <c r="B8" s="4"/>
      <c r="C8" s="4">
        <v>0</v>
      </c>
      <c r="D8" s="4">
        <f t="shared" si="0"/>
        <v>8.03</v>
      </c>
      <c r="G8" s="4">
        <v>5</v>
      </c>
      <c r="H8" s="4">
        <v>0</v>
      </c>
    </row>
    <row r="9" ht="22.5" customHeight="1" spans="1:8">
      <c r="A9" s="3">
        <v>45768</v>
      </c>
      <c r="B9" s="4"/>
      <c r="C9" s="4">
        <v>0</v>
      </c>
      <c r="D9" s="4">
        <f t="shared" si="0"/>
        <v>8.03</v>
      </c>
      <c r="G9" s="4">
        <v>2</v>
      </c>
      <c r="H9" s="4">
        <v>0</v>
      </c>
    </row>
    <row r="10" ht="22.5" customHeight="1" spans="1:8">
      <c r="A10" s="3">
        <v>45769</v>
      </c>
      <c r="B10" s="4"/>
      <c r="C10" s="4">
        <v>0</v>
      </c>
      <c r="D10" s="4">
        <f t="shared" si="0"/>
        <v>8.03</v>
      </c>
      <c r="G10" s="4">
        <v>1</v>
      </c>
      <c r="H10" s="4">
        <v>1</v>
      </c>
    </row>
    <row r="11" ht="22.5" customHeight="1" spans="1:8">
      <c r="A11" s="3">
        <v>45770</v>
      </c>
      <c r="B11" s="4"/>
      <c r="C11" s="4">
        <v>0</v>
      </c>
      <c r="D11" s="4">
        <f t="shared" si="0"/>
        <v>8.03</v>
      </c>
      <c r="G11" s="4">
        <v>0.5</v>
      </c>
      <c r="H11" s="4">
        <v>2</v>
      </c>
    </row>
    <row r="12" ht="22.5" customHeight="1" spans="1:8">
      <c r="A12" s="3">
        <v>45771</v>
      </c>
      <c r="B12" s="4"/>
      <c r="C12" s="4">
        <v>0</v>
      </c>
      <c r="D12" s="4">
        <f t="shared" si="0"/>
        <v>8.03</v>
      </c>
      <c r="E12" s="4"/>
      <c r="F12" s="4"/>
      <c r="G12" s="4">
        <v>0.2</v>
      </c>
      <c r="H12" s="4">
        <f>9+3+1</f>
        <v>13</v>
      </c>
    </row>
    <row r="13" ht="22.5" customHeight="1" spans="1:8">
      <c r="A13" s="3">
        <v>45772</v>
      </c>
      <c r="B13" s="4"/>
      <c r="C13" s="4">
        <v>0</v>
      </c>
      <c r="D13" s="4">
        <f t="shared" si="0"/>
        <v>8.03</v>
      </c>
      <c r="E13" s="4"/>
      <c r="F13" s="4"/>
      <c r="G13" s="4">
        <v>0.1</v>
      </c>
      <c r="H13" s="4">
        <f>6+3</f>
        <v>9</v>
      </c>
    </row>
    <row r="14" ht="22.5" customHeight="1" spans="1:8">
      <c r="A14" s="3">
        <v>45773</v>
      </c>
      <c r="B14" s="4"/>
      <c r="C14" s="4">
        <v>0</v>
      </c>
      <c r="D14" s="4">
        <f t="shared" si="0"/>
        <v>8.03</v>
      </c>
      <c r="E14" s="4"/>
      <c r="F14" s="4"/>
      <c r="G14" s="4">
        <v>0.05</v>
      </c>
      <c r="H14" s="4">
        <v>113</v>
      </c>
    </row>
    <row r="15" ht="22.5" customHeight="1" spans="1:8">
      <c r="A15" s="3">
        <v>45774</v>
      </c>
      <c r="B15" s="4"/>
      <c r="C15" s="4">
        <v>0</v>
      </c>
      <c r="D15" s="4">
        <f t="shared" si="0"/>
        <v>8.03</v>
      </c>
      <c r="E15" s="4"/>
      <c r="F15" s="4"/>
      <c r="G15" s="4">
        <v>0.02</v>
      </c>
      <c r="H15" s="4">
        <f>90+2+59</f>
        <v>151</v>
      </c>
    </row>
    <row r="16" ht="22.5" customHeight="1" spans="1:8">
      <c r="A16" s="3">
        <v>45775</v>
      </c>
      <c r="B16" s="4"/>
      <c r="C16" s="4">
        <v>0</v>
      </c>
      <c r="D16" s="4">
        <f t="shared" si="0"/>
        <v>8.03</v>
      </c>
      <c r="E16" s="4"/>
      <c r="F16" s="4"/>
      <c r="G16" s="4">
        <v>0.01</v>
      </c>
      <c r="H16" s="4">
        <v>108</v>
      </c>
    </row>
    <row r="17" ht="22.5" customHeight="1" spans="1:8">
      <c r="A17" s="3">
        <v>45776</v>
      </c>
      <c r="B17" s="4"/>
      <c r="C17" s="4">
        <v>0</v>
      </c>
      <c r="D17" s="4">
        <f t="shared" si="0"/>
        <v>8.03</v>
      </c>
      <c r="E17" s="4"/>
      <c r="F17" s="4"/>
      <c r="G17" s="4"/>
      <c r="H17" s="4">
        <f>SUM(H2:H16)</f>
        <v>397</v>
      </c>
    </row>
    <row r="18" ht="22.5" customHeight="1" spans="1:8">
      <c r="A18" s="3">
        <v>45777</v>
      </c>
      <c r="B18" s="4">
        <v>0.05</v>
      </c>
      <c r="C18" s="4">
        <v>0</v>
      </c>
      <c r="D18" s="4">
        <f t="shared" si="0"/>
        <v>8.08</v>
      </c>
      <c r="E18" s="4"/>
      <c r="F18" s="4"/>
      <c r="G18" s="4"/>
      <c r="H18" s="4"/>
    </row>
    <row r="19" ht="22.5" customHeight="1" spans="1:8">
      <c r="A19" s="3">
        <v>45778</v>
      </c>
      <c r="B19" s="4"/>
      <c r="C19" s="4">
        <v>0</v>
      </c>
      <c r="D19" s="4">
        <f t="shared" si="0"/>
        <v>8.08</v>
      </c>
      <c r="E19" s="4"/>
      <c r="F19" s="4"/>
      <c r="G19" s="4"/>
      <c r="H19" s="4"/>
    </row>
    <row r="20" ht="22.5" customHeight="1" spans="1:8">
      <c r="A20" s="3">
        <v>45779</v>
      </c>
      <c r="B20" s="4"/>
      <c r="C20" s="4">
        <v>0</v>
      </c>
      <c r="D20" s="4">
        <f t="shared" si="0"/>
        <v>8.08</v>
      </c>
      <c r="E20" s="4"/>
      <c r="F20" s="4"/>
      <c r="G20" s="4"/>
      <c r="H20" s="4"/>
    </row>
    <row r="21" ht="22.5" customHeight="1" spans="1:8">
      <c r="A21" s="3">
        <v>45780</v>
      </c>
      <c r="B21" s="4"/>
      <c r="C21" s="4">
        <v>0</v>
      </c>
      <c r="D21" s="4">
        <f t="shared" si="0"/>
        <v>8.08</v>
      </c>
      <c r="E21" s="4"/>
      <c r="F21" s="4"/>
      <c r="G21" s="4"/>
      <c r="H21" s="4"/>
    </row>
    <row r="22" ht="22.5" customHeight="1" spans="1:8">
      <c r="A22" s="3">
        <v>45781</v>
      </c>
      <c r="B22" s="4"/>
      <c r="C22" s="4">
        <v>0</v>
      </c>
      <c r="D22" s="4">
        <f t="shared" si="0"/>
        <v>8.08</v>
      </c>
      <c r="E22" s="4"/>
      <c r="F22" s="4"/>
      <c r="G22" s="4"/>
      <c r="H22" s="4"/>
    </row>
    <row r="23" ht="22.5" customHeight="1" spans="1:8">
      <c r="A23" s="3">
        <v>45782</v>
      </c>
      <c r="B23" s="4"/>
      <c r="C23" s="4">
        <v>0</v>
      </c>
      <c r="D23" s="4">
        <f t="shared" si="0"/>
        <v>8.08</v>
      </c>
      <c r="E23" s="4"/>
      <c r="F23" s="4"/>
      <c r="G23" s="4"/>
      <c r="H23" s="4"/>
    </row>
    <row r="24" ht="22.5" customHeight="1" spans="1:8">
      <c r="A24" s="3">
        <v>45783</v>
      </c>
      <c r="B24" s="4">
        <v>0.01</v>
      </c>
      <c r="C24" s="4">
        <v>0</v>
      </c>
      <c r="D24" s="4">
        <f t="shared" si="0"/>
        <v>8.09</v>
      </c>
      <c r="E24" s="4"/>
      <c r="F24" s="4"/>
      <c r="G24" s="4"/>
      <c r="H24" s="4"/>
    </row>
    <row r="25" ht="22.5" customHeight="1" spans="1:8">
      <c r="A25" s="3">
        <v>45784</v>
      </c>
      <c r="B25" s="4">
        <v>0.2</v>
      </c>
      <c r="C25" s="4">
        <v>0</v>
      </c>
      <c r="D25" s="4">
        <f t="shared" si="0"/>
        <v>8.29</v>
      </c>
      <c r="E25" s="4"/>
      <c r="F25" s="4"/>
      <c r="G25" s="4"/>
      <c r="H25" s="4"/>
    </row>
    <row r="26" ht="22.5" customHeight="1" spans="1:8">
      <c r="A26" s="3">
        <v>45785</v>
      </c>
      <c r="B26" s="4"/>
      <c r="C26" s="4">
        <v>0</v>
      </c>
      <c r="D26" s="4">
        <f t="shared" si="0"/>
        <v>8.29</v>
      </c>
      <c r="E26" s="4"/>
      <c r="F26" s="4"/>
      <c r="G26" s="4"/>
      <c r="H26" s="4"/>
    </row>
    <row r="27" ht="22.5" customHeight="1" spans="1:8">
      <c r="A27" s="3">
        <v>45786</v>
      </c>
      <c r="B27" s="4"/>
      <c r="C27" s="4">
        <v>0</v>
      </c>
      <c r="D27" s="4">
        <f t="shared" si="0"/>
        <v>8.29</v>
      </c>
      <c r="E27" s="4"/>
      <c r="F27" s="4"/>
      <c r="G27" s="4"/>
      <c r="H27" s="4"/>
    </row>
    <row r="28" ht="22.5" customHeight="1" spans="1:8">
      <c r="A28" s="3">
        <v>45787</v>
      </c>
      <c r="B28" s="4"/>
      <c r="C28" s="4">
        <v>0</v>
      </c>
      <c r="D28" s="4">
        <f t="shared" si="0"/>
        <v>8.29</v>
      </c>
      <c r="E28" s="4"/>
      <c r="F28" s="4"/>
      <c r="G28" s="4"/>
      <c r="H28" s="4"/>
    </row>
    <row r="29" ht="22.5" customHeight="1" spans="1:8">
      <c r="A29" s="3">
        <v>45788</v>
      </c>
      <c r="B29" s="4">
        <v>0.02</v>
      </c>
      <c r="C29" s="4">
        <v>0</v>
      </c>
      <c r="D29" s="4">
        <f t="shared" si="0"/>
        <v>8.31</v>
      </c>
      <c r="E29" s="4"/>
      <c r="F29" s="4"/>
      <c r="G29" s="4"/>
      <c r="H29" s="4"/>
    </row>
    <row r="30" ht="22.5" customHeight="1" spans="1:8">
      <c r="A30" s="3">
        <v>45789</v>
      </c>
      <c r="B30" s="4">
        <v>0.6</v>
      </c>
      <c r="C30" s="4">
        <v>0</v>
      </c>
      <c r="D30" s="4">
        <f t="shared" si="0"/>
        <v>8.91</v>
      </c>
      <c r="E30" s="4"/>
      <c r="F30" s="4"/>
      <c r="G30" s="4"/>
      <c r="H30" s="4"/>
    </row>
    <row r="31" ht="22.5" customHeight="1" spans="1:8">
      <c r="A31" s="3">
        <v>45790</v>
      </c>
      <c r="B31" s="4"/>
      <c r="C31" s="4">
        <v>0</v>
      </c>
      <c r="D31" s="4">
        <f t="shared" si="0"/>
        <v>8.91</v>
      </c>
      <c r="E31" s="4"/>
      <c r="F31" s="4"/>
      <c r="G31" s="4"/>
      <c r="H31" s="4"/>
    </row>
    <row r="32" ht="22.5" customHeight="1" spans="1:8">
      <c r="A32" s="3">
        <v>45791</v>
      </c>
      <c r="B32" s="4"/>
      <c r="C32" s="4">
        <v>0</v>
      </c>
      <c r="D32" s="4">
        <f t="shared" si="0"/>
        <v>8.91</v>
      </c>
      <c r="E32" s="4"/>
      <c r="F32" s="4"/>
      <c r="G32" s="4"/>
      <c r="H32" s="4"/>
    </row>
    <row r="33" ht="22.5" customHeight="1" spans="1:8">
      <c r="A33" s="3">
        <v>45792</v>
      </c>
      <c r="B33" s="4"/>
      <c r="C33" s="4">
        <v>0</v>
      </c>
      <c r="D33" s="4">
        <f t="shared" si="0"/>
        <v>8.91</v>
      </c>
      <c r="E33" s="4"/>
      <c r="F33" s="4"/>
      <c r="G33" s="4"/>
      <c r="H33" s="4"/>
    </row>
    <row r="34" ht="22.5" customHeight="1" spans="1:8">
      <c r="A34" s="3">
        <v>45793</v>
      </c>
      <c r="B34" s="4">
        <v>0.01</v>
      </c>
      <c r="C34" s="4">
        <v>0</v>
      </c>
      <c r="D34" s="4">
        <f t="shared" si="0"/>
        <v>8.92</v>
      </c>
      <c r="E34" s="4"/>
      <c r="F34" s="4"/>
      <c r="G34" s="4"/>
      <c r="H34" s="4"/>
    </row>
    <row r="35" ht="22.5" customHeight="1" spans="1:8">
      <c r="A35" s="3">
        <v>45794</v>
      </c>
      <c r="B35" s="4"/>
      <c r="C35" s="4">
        <v>0</v>
      </c>
      <c r="D35" s="4">
        <f t="shared" si="0"/>
        <v>8.92</v>
      </c>
      <c r="E35" s="4"/>
      <c r="F35" s="4"/>
      <c r="G35" s="4"/>
      <c r="H35" s="4"/>
    </row>
    <row r="36" ht="22.5" customHeight="1" spans="1:8">
      <c r="A36" s="3">
        <v>45795</v>
      </c>
      <c r="B36" s="4"/>
      <c r="C36" s="4">
        <v>0</v>
      </c>
      <c r="D36" s="4">
        <f t="shared" si="0"/>
        <v>8.92</v>
      </c>
      <c r="E36" s="4"/>
      <c r="F36" s="4"/>
      <c r="G36" s="4"/>
      <c r="H36" s="4"/>
    </row>
    <row r="37" ht="22.5" customHeight="1" spans="1:8">
      <c r="A37" s="3">
        <v>45796</v>
      </c>
      <c r="B37" s="4"/>
      <c r="C37" s="4">
        <v>0</v>
      </c>
      <c r="D37" s="4">
        <f t="shared" si="0"/>
        <v>8.92</v>
      </c>
      <c r="E37" s="4"/>
      <c r="F37" s="4"/>
      <c r="G37" s="4"/>
      <c r="H37" s="4"/>
    </row>
    <row r="38" ht="22.5" customHeight="1" spans="1:8">
      <c r="A38" s="3">
        <v>45797</v>
      </c>
      <c r="B38" s="4"/>
      <c r="C38" s="4">
        <v>0</v>
      </c>
      <c r="D38" s="4">
        <f t="shared" si="0"/>
        <v>8.92</v>
      </c>
      <c r="E38" s="4"/>
      <c r="F38" s="4"/>
      <c r="G38" s="4"/>
      <c r="H38" s="4"/>
    </row>
    <row r="39" ht="22.5" customHeight="1" spans="1:8">
      <c r="A39" s="3">
        <v>45798</v>
      </c>
      <c r="B39" s="4"/>
      <c r="C39" s="4">
        <v>0</v>
      </c>
      <c r="D39" s="4">
        <f t="shared" si="0"/>
        <v>8.92</v>
      </c>
      <c r="E39" s="4"/>
      <c r="F39" s="4"/>
      <c r="G39" s="4"/>
      <c r="H39" s="4"/>
    </row>
    <row r="40" ht="22.5" customHeight="1" spans="1:8">
      <c r="A40" s="3">
        <v>45799</v>
      </c>
      <c r="B40" s="4">
        <v>1.26</v>
      </c>
      <c r="C40" s="4">
        <v>0</v>
      </c>
      <c r="D40" s="4">
        <f t="shared" si="0"/>
        <v>10.18</v>
      </c>
      <c r="E40" s="4"/>
      <c r="F40" s="4"/>
      <c r="G40" s="4"/>
      <c r="H40" s="4"/>
    </row>
    <row r="41" ht="22.5" customHeight="1" spans="1:8">
      <c r="A41" s="3">
        <v>45800</v>
      </c>
      <c r="B41" s="4">
        <v>4</v>
      </c>
      <c r="C41" s="4">
        <v>0</v>
      </c>
      <c r="D41" s="4">
        <f t="shared" si="0"/>
        <v>14.18</v>
      </c>
      <c r="E41" s="4"/>
      <c r="F41" s="4"/>
      <c r="G41" s="4"/>
      <c r="H41" s="4"/>
    </row>
    <row r="42" ht="22.5" customHeight="1" spans="1:8">
      <c r="A42" s="3">
        <v>45801</v>
      </c>
      <c r="B42" s="4"/>
      <c r="C42" s="4">
        <v>0</v>
      </c>
      <c r="D42" s="4">
        <f t="shared" si="0"/>
        <v>14.18</v>
      </c>
      <c r="E42" s="4"/>
      <c r="F42" s="4"/>
      <c r="G42" s="4"/>
      <c r="H42" s="4"/>
    </row>
    <row r="43" ht="22.5" customHeight="1" spans="1:8">
      <c r="A43" s="3">
        <v>45802</v>
      </c>
      <c r="B43" s="4"/>
      <c r="C43" s="4">
        <v>0</v>
      </c>
      <c r="D43" s="4">
        <f t="shared" si="0"/>
        <v>14.18</v>
      </c>
      <c r="E43" s="4"/>
      <c r="F43" s="4"/>
      <c r="G43" s="4"/>
      <c r="H43" s="4"/>
    </row>
    <row r="44" ht="22.5" customHeight="1" spans="1:8">
      <c r="A44" s="3">
        <v>45803</v>
      </c>
      <c r="B44" s="4"/>
      <c r="C44" s="4">
        <v>0</v>
      </c>
      <c r="D44" s="4">
        <f t="shared" si="0"/>
        <v>14.18</v>
      </c>
      <c r="E44" s="4"/>
      <c r="F44" s="4"/>
      <c r="G44" s="4"/>
      <c r="H44" s="4"/>
    </row>
    <row r="45" ht="22.5" customHeight="1" spans="1:8">
      <c r="A45" s="3">
        <v>45804</v>
      </c>
      <c r="B45" s="4"/>
      <c r="C45" s="4">
        <v>0</v>
      </c>
      <c r="D45" s="4">
        <f t="shared" si="0"/>
        <v>14.18</v>
      </c>
      <c r="E45" s="4"/>
      <c r="F45" s="4"/>
      <c r="G45" s="4"/>
      <c r="H45" s="4"/>
    </row>
    <row r="46" ht="22.5" customHeight="1" spans="1:8">
      <c r="A46" s="3">
        <v>45805</v>
      </c>
      <c r="B46" s="4"/>
      <c r="C46" s="4">
        <v>0</v>
      </c>
      <c r="D46" s="4">
        <f t="shared" si="0"/>
        <v>14.18</v>
      </c>
      <c r="E46" s="4"/>
      <c r="F46" s="4"/>
      <c r="G46" s="4"/>
      <c r="H46" s="4"/>
    </row>
    <row r="47" ht="22.5" customHeight="1" spans="1:8">
      <c r="A47" s="3">
        <v>45806</v>
      </c>
      <c r="B47" s="4"/>
      <c r="C47" s="4">
        <v>0</v>
      </c>
      <c r="D47" s="4">
        <f t="shared" si="0"/>
        <v>14.18</v>
      </c>
      <c r="E47" s="4"/>
      <c r="F47" s="4"/>
      <c r="G47" s="4"/>
      <c r="H47" s="4"/>
    </row>
    <row r="48" ht="22.5" customHeight="1" spans="1:8">
      <c r="A48" s="3">
        <v>45807</v>
      </c>
      <c r="B48" s="4"/>
      <c r="C48" s="4">
        <v>0</v>
      </c>
      <c r="D48" s="4">
        <f t="shared" si="0"/>
        <v>14.18</v>
      </c>
      <c r="E48" s="4"/>
      <c r="F48" s="4"/>
      <c r="G48" s="4"/>
      <c r="H48" s="4"/>
    </row>
    <row r="49" ht="22.5" customHeight="1" spans="1:8">
      <c r="A49" s="3">
        <v>45808</v>
      </c>
      <c r="B49" s="4"/>
      <c r="C49" s="4">
        <v>0</v>
      </c>
      <c r="D49" s="4">
        <f t="shared" si="0"/>
        <v>14.18</v>
      </c>
      <c r="E49" s="4"/>
      <c r="F49" s="4"/>
      <c r="G49" s="4"/>
      <c r="H49" s="4"/>
    </row>
    <row r="50" ht="22.5" customHeight="1" spans="1:8">
      <c r="A50" s="3">
        <v>45809</v>
      </c>
      <c r="B50" s="4"/>
      <c r="C50" s="4">
        <v>0</v>
      </c>
      <c r="D50" s="4">
        <f t="shared" si="0"/>
        <v>14.18</v>
      </c>
      <c r="E50" s="4"/>
      <c r="F50" s="4"/>
      <c r="G50" s="4"/>
      <c r="H50" s="4"/>
    </row>
    <row r="51" ht="22.5" customHeight="1" spans="1:8">
      <c r="A51" s="3">
        <v>45810</v>
      </c>
      <c r="B51" s="4"/>
      <c r="C51" s="4">
        <v>0</v>
      </c>
      <c r="D51" s="4">
        <f t="shared" si="0"/>
        <v>14.18</v>
      </c>
      <c r="E51" s="4"/>
      <c r="F51" s="4"/>
      <c r="G51" s="4"/>
      <c r="H51" s="4"/>
    </row>
    <row r="52" ht="22.5" customHeight="1" spans="1:8">
      <c r="A52" s="3">
        <v>45811</v>
      </c>
      <c r="B52" s="4"/>
      <c r="C52" s="4">
        <v>0</v>
      </c>
      <c r="D52" s="4">
        <f t="shared" si="0"/>
        <v>14.18</v>
      </c>
      <c r="E52" s="4"/>
      <c r="F52" s="4"/>
      <c r="G52" s="4"/>
      <c r="H52" s="4"/>
    </row>
    <row r="53" ht="22.5" customHeight="1" spans="1:8">
      <c r="A53" s="3">
        <v>45812</v>
      </c>
      <c r="B53" s="4"/>
      <c r="C53" s="4">
        <v>0</v>
      </c>
      <c r="D53" s="4">
        <f t="shared" si="0"/>
        <v>14.18</v>
      </c>
      <c r="E53" s="4"/>
      <c r="F53" s="4"/>
      <c r="G53" s="4"/>
      <c r="H53" s="4"/>
    </row>
    <row r="54" ht="22.5" customHeight="1" spans="1:8">
      <c r="A54" s="3">
        <v>45813</v>
      </c>
      <c r="B54" s="4"/>
      <c r="C54" s="4">
        <v>0</v>
      </c>
      <c r="D54" s="4">
        <f t="shared" si="0"/>
        <v>14.18</v>
      </c>
      <c r="E54" s="4"/>
      <c r="F54" s="4"/>
      <c r="G54" s="4"/>
      <c r="H54" s="4"/>
    </row>
    <row r="55" ht="22.5" customHeight="1" spans="1:8">
      <c r="A55" s="3">
        <v>45814</v>
      </c>
      <c r="B55" s="4"/>
      <c r="C55" s="4">
        <v>0</v>
      </c>
      <c r="D55" s="4">
        <f t="shared" si="0"/>
        <v>14.18</v>
      </c>
      <c r="E55" s="4"/>
      <c r="F55" s="4"/>
      <c r="G55" s="4"/>
      <c r="H55" s="4"/>
    </row>
    <row r="56" ht="22.5" customHeight="1" spans="1:8">
      <c r="A56" s="3">
        <v>45815</v>
      </c>
      <c r="B56" s="4"/>
      <c r="C56" s="4">
        <v>0</v>
      </c>
      <c r="D56" s="4">
        <f t="shared" si="0"/>
        <v>14.18</v>
      </c>
      <c r="E56" s="4"/>
      <c r="F56" s="4"/>
      <c r="G56" s="4"/>
      <c r="H56" s="4"/>
    </row>
    <row r="57" ht="22.5" customHeight="1" spans="1:8">
      <c r="A57" s="3">
        <v>45816</v>
      </c>
      <c r="B57" s="4"/>
      <c r="C57" s="4">
        <v>0</v>
      </c>
      <c r="D57" s="4">
        <f t="shared" si="0"/>
        <v>14.18</v>
      </c>
      <c r="E57" s="4"/>
      <c r="F57" s="4"/>
      <c r="G57" s="4"/>
      <c r="H57" s="4"/>
    </row>
    <row r="58" ht="22.5" customHeight="1" spans="1:8">
      <c r="A58" s="3">
        <v>45817</v>
      </c>
      <c r="B58" s="4"/>
      <c r="C58" s="4">
        <v>0</v>
      </c>
      <c r="D58" s="4">
        <f t="shared" si="0"/>
        <v>14.18</v>
      </c>
      <c r="E58" s="4"/>
      <c r="F58" s="4"/>
      <c r="G58" s="4"/>
      <c r="H58" s="4"/>
    </row>
    <row r="59" ht="22.5" customHeight="1" spans="1:8">
      <c r="A59" s="3">
        <v>45818</v>
      </c>
      <c r="B59" s="4"/>
      <c r="C59" s="4">
        <v>0</v>
      </c>
      <c r="D59" s="4">
        <f t="shared" si="0"/>
        <v>14.18</v>
      </c>
      <c r="E59" s="4"/>
      <c r="F59" s="4"/>
      <c r="G59" s="4"/>
      <c r="H59" s="4"/>
    </row>
    <row r="60" ht="22.5" customHeight="1" spans="1:8">
      <c r="A60" s="3">
        <v>45819</v>
      </c>
      <c r="B60" s="4"/>
      <c r="C60" s="4">
        <v>0</v>
      </c>
      <c r="D60" s="4">
        <f t="shared" si="0"/>
        <v>14.18</v>
      </c>
      <c r="E60" s="4"/>
      <c r="F60" s="4"/>
      <c r="G60" s="4"/>
      <c r="H60" s="4"/>
    </row>
    <row r="61" ht="22.5" customHeight="1" spans="1:8">
      <c r="A61" s="3">
        <v>45820</v>
      </c>
      <c r="B61" s="4"/>
      <c r="C61" s="4">
        <v>0</v>
      </c>
      <c r="D61" s="4">
        <f t="shared" si="0"/>
        <v>14.18</v>
      </c>
      <c r="E61" s="4"/>
      <c r="F61" s="4"/>
      <c r="G61" s="4"/>
      <c r="H61" s="4"/>
    </row>
    <row r="62" ht="22.5" customHeight="1" spans="1:8">
      <c r="A62" s="3">
        <v>45821</v>
      </c>
      <c r="B62" s="4"/>
      <c r="C62" s="4">
        <v>0</v>
      </c>
      <c r="D62" s="4">
        <f t="shared" si="0"/>
        <v>14.18</v>
      </c>
      <c r="E62" s="4"/>
      <c r="F62" s="4"/>
      <c r="G62" s="4"/>
      <c r="H62" s="4"/>
    </row>
    <row r="63" ht="22.5" customHeight="1" spans="1:8">
      <c r="A63" s="3">
        <v>45822</v>
      </c>
      <c r="B63" s="4"/>
      <c r="C63" s="4">
        <v>0</v>
      </c>
      <c r="D63" s="4">
        <f t="shared" si="0"/>
        <v>14.18</v>
      </c>
      <c r="E63" s="4"/>
      <c r="F63" s="4"/>
      <c r="G63" s="4"/>
      <c r="H63" s="4"/>
    </row>
    <row r="64" ht="22.5" customHeight="1" spans="1:8">
      <c r="A64" s="3">
        <v>45823</v>
      </c>
      <c r="B64" s="4"/>
      <c r="C64" s="4">
        <v>0</v>
      </c>
      <c r="D64" s="4">
        <f t="shared" si="0"/>
        <v>14.18</v>
      </c>
      <c r="E64" s="4"/>
      <c r="F64" s="4"/>
      <c r="G64" s="4"/>
      <c r="H64" s="4"/>
    </row>
    <row r="65" ht="22.5" customHeight="1" spans="1:8">
      <c r="A65" s="3">
        <v>45824</v>
      </c>
      <c r="B65" s="4"/>
      <c r="C65" s="4">
        <v>0</v>
      </c>
      <c r="D65" s="4">
        <f t="shared" si="0"/>
        <v>14.18</v>
      </c>
      <c r="E65" s="4"/>
      <c r="F65" s="4"/>
      <c r="G65" s="4"/>
      <c r="H65" s="4"/>
    </row>
    <row r="66" ht="22.5" customHeight="1" spans="1:8">
      <c r="A66" s="3">
        <v>45825</v>
      </c>
      <c r="B66" s="4"/>
      <c r="C66" s="4">
        <v>0</v>
      </c>
      <c r="D66" s="4">
        <f t="shared" si="0"/>
        <v>14.18</v>
      </c>
      <c r="E66" s="4"/>
      <c r="F66" s="4"/>
      <c r="G66" s="4"/>
      <c r="H66" s="4"/>
    </row>
    <row r="67" ht="22.5" customHeight="1" spans="1:8">
      <c r="A67" s="3">
        <v>45826</v>
      </c>
      <c r="B67" s="4"/>
      <c r="C67" s="4">
        <v>0</v>
      </c>
      <c r="D67" s="4">
        <f t="shared" si="0"/>
        <v>14.18</v>
      </c>
      <c r="E67" s="4"/>
      <c r="F67" s="4"/>
      <c r="G67" s="4"/>
      <c r="H67" s="4"/>
    </row>
    <row r="68" ht="22.5" customHeight="1" spans="1:8">
      <c r="A68" s="3">
        <v>45827</v>
      </c>
      <c r="B68" s="4"/>
      <c r="C68" s="4">
        <v>0</v>
      </c>
      <c r="D68" s="4">
        <f t="shared" si="0"/>
        <v>14.18</v>
      </c>
      <c r="E68" s="4"/>
      <c r="F68" s="4"/>
      <c r="G68" s="4"/>
      <c r="H68" s="4"/>
    </row>
    <row r="69" ht="22.5" customHeight="1" spans="1:8">
      <c r="A69" s="3">
        <v>45828</v>
      </c>
      <c r="B69" s="4"/>
      <c r="C69" s="4">
        <v>0</v>
      </c>
      <c r="D69" s="4">
        <f t="shared" si="0"/>
        <v>14.18</v>
      </c>
      <c r="E69" s="4"/>
      <c r="F69" s="4"/>
      <c r="G69" s="4"/>
      <c r="H69" s="4"/>
    </row>
    <row r="70" ht="22.5" customHeight="1" spans="1:8">
      <c r="A70" s="3">
        <v>45829</v>
      </c>
      <c r="B70" s="4"/>
      <c r="C70" s="4">
        <v>0</v>
      </c>
      <c r="D70" s="4">
        <f t="shared" si="0"/>
        <v>14.18</v>
      </c>
      <c r="E70" s="4"/>
      <c r="F70" s="4"/>
      <c r="G70" s="4"/>
      <c r="H70" s="4"/>
    </row>
    <row r="71" ht="22.5" customHeight="1" spans="1:8">
      <c r="A71" s="3">
        <v>45830</v>
      </c>
      <c r="B71" s="4"/>
      <c r="C71" s="4">
        <v>0</v>
      </c>
      <c r="D71" s="4">
        <f t="shared" si="0"/>
        <v>14.18</v>
      </c>
      <c r="E71" s="4"/>
      <c r="F71" s="4"/>
      <c r="G71" s="4"/>
      <c r="H71" s="4"/>
    </row>
    <row r="72" ht="22.5" customHeight="1" spans="1:8">
      <c r="A72" s="3">
        <v>45831</v>
      </c>
      <c r="B72" s="4"/>
      <c r="C72" s="4">
        <v>0</v>
      </c>
      <c r="D72" s="4">
        <f t="shared" si="0"/>
        <v>14.18</v>
      </c>
      <c r="E72" s="4"/>
      <c r="F72" s="4"/>
      <c r="G72" s="4"/>
      <c r="H72" s="4"/>
    </row>
    <row r="73" ht="22.5" customHeight="1" spans="1:8">
      <c r="A73" s="3">
        <v>45832</v>
      </c>
      <c r="B73" s="4"/>
      <c r="C73" s="4">
        <v>0</v>
      </c>
      <c r="D73" s="4">
        <f t="shared" si="0"/>
        <v>14.18</v>
      </c>
      <c r="E73" s="4"/>
      <c r="F73" s="4"/>
      <c r="G73" s="4"/>
      <c r="H73" s="4"/>
    </row>
    <row r="74" ht="22.5" customHeight="1" spans="1:8">
      <c r="A74" s="3">
        <v>45833</v>
      </c>
      <c r="B74" s="4"/>
      <c r="C74" s="4">
        <v>0</v>
      </c>
      <c r="D74" s="4">
        <f t="shared" si="0"/>
        <v>14.18</v>
      </c>
      <c r="E74" s="4"/>
      <c r="F74" s="4"/>
      <c r="G74" s="4"/>
      <c r="H74" s="4"/>
    </row>
    <row r="75" ht="22.5" customHeight="1" spans="1:8">
      <c r="A75" s="3">
        <v>45834</v>
      </c>
      <c r="B75" s="4"/>
      <c r="C75" s="4">
        <v>0</v>
      </c>
      <c r="D75" s="4">
        <f t="shared" si="0"/>
        <v>14.18</v>
      </c>
      <c r="E75" s="4"/>
      <c r="F75" s="4"/>
      <c r="G75" s="4"/>
      <c r="H75" s="4"/>
    </row>
    <row r="76" ht="22.5" customHeight="1" spans="1:8">
      <c r="A76" s="3">
        <v>45835</v>
      </c>
      <c r="B76" s="4"/>
      <c r="C76" s="4">
        <v>0</v>
      </c>
      <c r="D76" s="4">
        <f t="shared" si="0"/>
        <v>14.18</v>
      </c>
      <c r="E76" s="4"/>
      <c r="F76" s="4"/>
      <c r="G76" s="4"/>
      <c r="H76" s="4"/>
    </row>
    <row r="77" ht="22.5" customHeight="1" spans="1:8">
      <c r="A77" s="3">
        <v>45836</v>
      </c>
      <c r="B77" s="4"/>
      <c r="C77" s="4">
        <v>0</v>
      </c>
      <c r="D77" s="4">
        <f t="shared" si="0"/>
        <v>14.18</v>
      </c>
      <c r="E77" s="4"/>
      <c r="F77" s="4"/>
      <c r="G77" s="4"/>
      <c r="H77" s="4"/>
    </row>
    <row r="78" ht="22.5" customHeight="1" spans="1:8">
      <c r="A78" s="3">
        <v>45837</v>
      </c>
      <c r="B78" s="4"/>
      <c r="C78" s="4">
        <v>0</v>
      </c>
      <c r="D78" s="4">
        <f t="shared" si="0"/>
        <v>14.18</v>
      </c>
      <c r="E78" s="4"/>
      <c r="F78" s="4"/>
      <c r="G78" s="4"/>
      <c r="H78" s="4"/>
    </row>
    <row r="79" ht="22.5" customHeight="1" spans="1:8">
      <c r="A79" s="3">
        <v>45838</v>
      </c>
      <c r="B79" s="4"/>
      <c r="C79" s="4">
        <v>0</v>
      </c>
      <c r="D79" s="4">
        <f t="shared" si="0"/>
        <v>14.18</v>
      </c>
      <c r="E79" s="4"/>
      <c r="F79" s="4"/>
      <c r="G79" s="4"/>
      <c r="H79" s="4"/>
    </row>
    <row r="80" ht="22.5" customHeight="1" spans="1:8">
      <c r="A80" s="3">
        <v>45839</v>
      </c>
      <c r="B80" s="4"/>
      <c r="C80" s="4">
        <v>0</v>
      </c>
      <c r="D80" s="4">
        <f t="shared" si="0"/>
        <v>14.18</v>
      </c>
      <c r="E80" s="4"/>
      <c r="F80" s="4"/>
      <c r="G80" s="4"/>
      <c r="H80" s="4"/>
    </row>
    <row r="81" ht="22.5" customHeight="1" spans="1:8">
      <c r="A81" s="3">
        <v>45840</v>
      </c>
      <c r="B81" s="4"/>
      <c r="C81" s="4">
        <v>0</v>
      </c>
      <c r="D81" s="4">
        <f t="shared" si="0"/>
        <v>14.18</v>
      </c>
      <c r="E81" s="4"/>
      <c r="F81" s="4"/>
      <c r="G81" s="4"/>
      <c r="H81" s="4"/>
    </row>
    <row r="82" ht="22.5" customHeight="1" spans="1:8">
      <c r="A82" s="3">
        <v>45841</v>
      </c>
      <c r="B82" s="4"/>
      <c r="C82" s="4">
        <v>0</v>
      </c>
      <c r="D82" s="4">
        <f t="shared" si="0"/>
        <v>14.18</v>
      </c>
      <c r="E82" s="4"/>
      <c r="F82" s="4"/>
      <c r="G82" s="4"/>
      <c r="H82" s="4"/>
    </row>
    <row r="83" ht="22.5" customHeight="1" spans="1:8">
      <c r="A83" s="3">
        <v>45842</v>
      </c>
      <c r="B83" s="4"/>
      <c r="C83" s="4">
        <v>0</v>
      </c>
      <c r="D83" s="4">
        <f t="shared" si="0"/>
        <v>14.18</v>
      </c>
      <c r="E83" s="4"/>
      <c r="F83" s="4"/>
      <c r="G83" s="4"/>
      <c r="H83" s="4"/>
    </row>
    <row r="84" ht="22.5" customHeight="1" spans="1:8">
      <c r="A84" s="3">
        <v>45843</v>
      </c>
      <c r="B84" s="4"/>
      <c r="C84" s="4">
        <v>0</v>
      </c>
      <c r="D84" s="4">
        <f t="shared" si="0"/>
        <v>14.18</v>
      </c>
      <c r="E84" s="4"/>
      <c r="F84" s="4"/>
      <c r="G84" s="4"/>
      <c r="H84" s="4"/>
    </row>
    <row r="85" ht="22.5" customHeight="1" spans="1:8">
      <c r="A85" s="3">
        <v>45844</v>
      </c>
      <c r="B85" s="4"/>
      <c r="C85" s="4">
        <v>0</v>
      </c>
      <c r="D85" s="4">
        <f t="shared" si="0"/>
        <v>14.18</v>
      </c>
      <c r="E85" s="4"/>
      <c r="F85" s="4"/>
      <c r="G85" s="4"/>
      <c r="H85" s="4"/>
    </row>
    <row r="86" ht="22.5" customHeight="1" spans="1:8">
      <c r="A86" s="3">
        <v>45845</v>
      </c>
      <c r="B86" s="4"/>
      <c r="C86" s="4">
        <v>0</v>
      </c>
      <c r="D86" s="4">
        <f t="shared" si="0"/>
        <v>14.18</v>
      </c>
      <c r="E86" s="4"/>
      <c r="F86" s="4"/>
      <c r="G86" s="4"/>
      <c r="H86" s="4"/>
    </row>
    <row r="87" ht="22.5" customHeight="1" spans="1:8">
      <c r="A87" s="3">
        <v>45846</v>
      </c>
      <c r="B87" s="4"/>
      <c r="C87" s="4">
        <v>0</v>
      </c>
      <c r="D87" s="4">
        <f t="shared" si="0"/>
        <v>14.18</v>
      </c>
      <c r="E87" s="4"/>
      <c r="F87" s="4"/>
      <c r="G87" s="4"/>
      <c r="H87" s="4"/>
    </row>
    <row r="88" ht="22.5" customHeight="1" spans="1:8">
      <c r="A88" s="3">
        <v>45847</v>
      </c>
      <c r="B88" s="4"/>
      <c r="C88" s="4">
        <v>0</v>
      </c>
      <c r="D88" s="4">
        <f t="shared" si="0"/>
        <v>14.18</v>
      </c>
      <c r="E88" s="4"/>
      <c r="F88" s="4"/>
      <c r="G88" s="4"/>
      <c r="H88" s="4"/>
    </row>
    <row r="89" ht="22.5" customHeight="1" spans="1:8">
      <c r="A89" s="3">
        <v>45848</v>
      </c>
      <c r="B89" s="4"/>
      <c r="C89" s="4">
        <v>0</v>
      </c>
      <c r="D89" s="4">
        <f t="shared" si="0"/>
        <v>14.18</v>
      </c>
      <c r="E89" s="4"/>
      <c r="F89" s="4"/>
      <c r="G89" s="4"/>
      <c r="H89" s="4"/>
    </row>
    <row r="90" ht="22.5" customHeight="1" spans="1:8">
      <c r="A90" s="3">
        <v>45849</v>
      </c>
      <c r="B90" s="4"/>
      <c r="C90" s="4">
        <v>0</v>
      </c>
      <c r="D90" s="4">
        <f t="shared" si="0"/>
        <v>14.18</v>
      </c>
      <c r="E90" s="4"/>
      <c r="F90" s="4"/>
      <c r="G90" s="4"/>
      <c r="H90" s="4"/>
    </row>
    <row r="91" ht="22.5" customHeight="1" spans="1:8">
      <c r="A91" s="3">
        <v>45850</v>
      </c>
      <c r="B91" s="4"/>
      <c r="C91" s="4">
        <v>0</v>
      </c>
      <c r="D91" s="4">
        <f t="shared" si="0"/>
        <v>14.18</v>
      </c>
      <c r="E91" s="4"/>
      <c r="F91" s="4"/>
      <c r="G91" s="4"/>
      <c r="H91" s="4"/>
    </row>
    <row r="92" ht="22.5" customHeight="1" spans="1:8">
      <c r="A92" s="3">
        <v>45851</v>
      </c>
      <c r="B92" s="4"/>
      <c r="C92" s="4">
        <v>0</v>
      </c>
      <c r="D92" s="4">
        <f t="shared" si="0"/>
        <v>14.18</v>
      </c>
      <c r="E92" s="4"/>
      <c r="F92" s="4"/>
      <c r="G92" s="4"/>
      <c r="H92" s="4"/>
    </row>
    <row r="93" ht="22.5" customHeight="1" spans="1:8">
      <c r="A93" s="3">
        <v>45852</v>
      </c>
      <c r="B93" s="4"/>
      <c r="C93" s="4">
        <v>0</v>
      </c>
      <c r="D93" s="4">
        <f t="shared" si="0"/>
        <v>14.18</v>
      </c>
      <c r="E93" s="4"/>
      <c r="F93" s="4"/>
      <c r="G93" s="4"/>
      <c r="H93" s="4"/>
    </row>
    <row r="94" ht="22.5" customHeight="1" spans="1:8">
      <c r="A94" s="3">
        <v>45853</v>
      </c>
      <c r="B94" s="4"/>
      <c r="C94" s="4">
        <v>0</v>
      </c>
      <c r="D94" s="4">
        <f t="shared" si="0"/>
        <v>14.18</v>
      </c>
      <c r="E94" s="4"/>
      <c r="F94" s="4"/>
      <c r="G94" s="4"/>
      <c r="H94" s="4"/>
    </row>
    <row r="95" ht="22.5" customHeight="1" spans="1:8">
      <c r="A95" s="3">
        <v>45854</v>
      </c>
      <c r="B95" s="4"/>
      <c r="C95" s="4">
        <v>0</v>
      </c>
      <c r="D95" s="4">
        <f t="shared" si="0"/>
        <v>14.18</v>
      </c>
      <c r="E95" s="4"/>
      <c r="F95" s="4"/>
      <c r="G95" s="4"/>
      <c r="H95" s="4"/>
    </row>
    <row r="96" ht="22.5" customHeight="1" spans="1:8">
      <c r="A96" s="3">
        <v>45855</v>
      </c>
      <c r="B96" s="4"/>
      <c r="C96" s="4">
        <v>0</v>
      </c>
      <c r="D96" s="4">
        <f t="shared" si="0"/>
        <v>14.18</v>
      </c>
      <c r="E96" s="4"/>
      <c r="F96" s="4"/>
      <c r="G96" s="4"/>
      <c r="H96" s="4"/>
    </row>
    <row r="97" ht="22.5" customHeight="1" spans="1:8">
      <c r="A97" s="3">
        <v>45856</v>
      </c>
      <c r="B97" s="4"/>
      <c r="C97" s="4">
        <v>0</v>
      </c>
      <c r="D97" s="4">
        <f t="shared" si="0"/>
        <v>14.18</v>
      </c>
      <c r="E97" s="4"/>
      <c r="F97" s="4"/>
      <c r="G97" s="4"/>
      <c r="H97" s="4"/>
    </row>
    <row r="98" ht="22.5" customHeight="1" spans="1:8">
      <c r="A98" s="3">
        <v>45857</v>
      </c>
      <c r="B98" s="4"/>
      <c r="C98" s="4">
        <v>0</v>
      </c>
      <c r="D98" s="4">
        <f t="shared" si="0"/>
        <v>14.18</v>
      </c>
      <c r="E98" s="4"/>
      <c r="F98" s="4"/>
      <c r="G98" s="4"/>
      <c r="H98" s="4"/>
    </row>
    <row r="99" ht="22.5" customHeight="1" spans="1:8">
      <c r="A99" s="3">
        <v>45858</v>
      </c>
      <c r="B99" s="4"/>
      <c r="C99" s="4">
        <v>0</v>
      </c>
      <c r="D99" s="4">
        <f t="shared" si="0"/>
        <v>14.18</v>
      </c>
      <c r="E99" s="4"/>
      <c r="F99" s="4"/>
      <c r="G99" s="4"/>
      <c r="H99" s="4"/>
    </row>
    <row r="100" ht="22.5" customHeight="1" spans="1:8">
      <c r="A100" s="3">
        <v>45859</v>
      </c>
      <c r="B100" s="4"/>
      <c r="C100" s="4">
        <v>0</v>
      </c>
      <c r="D100" s="4">
        <f t="shared" si="0"/>
        <v>14.18</v>
      </c>
      <c r="E100" s="4"/>
      <c r="F100" s="4"/>
      <c r="G100" s="4"/>
      <c r="H100" s="4"/>
    </row>
    <row r="101" ht="22.5" customHeight="1" spans="1:8">
      <c r="A101" s="3">
        <v>45860</v>
      </c>
      <c r="B101" s="4"/>
      <c r="C101" s="4">
        <v>0</v>
      </c>
      <c r="D101" s="4">
        <f t="shared" si="0"/>
        <v>14.18</v>
      </c>
      <c r="E101" s="4"/>
      <c r="F101" s="4"/>
      <c r="G101" s="4"/>
      <c r="H101" s="4"/>
    </row>
    <row r="102" ht="22.5" customHeight="1" spans="1:8">
      <c r="A102" s="3">
        <v>45861</v>
      </c>
      <c r="B102" s="4"/>
      <c r="C102" s="4">
        <v>0</v>
      </c>
      <c r="D102" s="4">
        <f t="shared" si="0"/>
        <v>14.18</v>
      </c>
      <c r="E102" s="4"/>
      <c r="F102" s="4"/>
      <c r="G102" s="4"/>
      <c r="H102" s="4"/>
    </row>
    <row r="103" ht="22.5" customHeight="1" spans="1:8">
      <c r="A103" s="3">
        <v>45862</v>
      </c>
      <c r="B103" s="4"/>
      <c r="C103" s="4">
        <v>0</v>
      </c>
      <c r="D103" s="4">
        <f t="shared" si="0"/>
        <v>14.18</v>
      </c>
      <c r="E103" s="4"/>
      <c r="F103" s="4"/>
      <c r="G103" s="4"/>
      <c r="H103" s="4"/>
    </row>
    <row r="104" ht="22.5" customHeight="1" spans="1:8">
      <c r="A104" s="3">
        <v>45863</v>
      </c>
      <c r="B104" s="4"/>
      <c r="C104" s="4">
        <v>0</v>
      </c>
      <c r="D104" s="4">
        <f t="shared" si="0"/>
        <v>14.18</v>
      </c>
      <c r="E104" s="4"/>
      <c r="F104" s="4"/>
      <c r="G104" s="4"/>
      <c r="H104" s="4"/>
    </row>
    <row r="105" ht="22.5" customHeight="1" spans="1:8">
      <c r="A105" s="3">
        <v>45864</v>
      </c>
      <c r="B105" s="4"/>
      <c r="C105" s="4">
        <v>0</v>
      </c>
      <c r="D105" s="4">
        <f t="shared" si="0"/>
        <v>14.18</v>
      </c>
      <c r="E105" s="4"/>
      <c r="F105" s="4"/>
      <c r="G105" s="4"/>
      <c r="H105" s="4"/>
    </row>
    <row r="106" ht="22.5" customHeight="1" spans="1:8">
      <c r="A106" s="3">
        <v>45865</v>
      </c>
      <c r="B106" s="4"/>
      <c r="C106" s="4">
        <v>0</v>
      </c>
      <c r="D106" s="4">
        <f t="shared" si="0"/>
        <v>14.18</v>
      </c>
      <c r="E106" s="4"/>
      <c r="F106" s="4"/>
      <c r="G106" s="4"/>
      <c r="H106" s="4"/>
    </row>
    <row r="107" ht="22.5" customHeight="1" spans="1:8">
      <c r="A107" s="3">
        <v>45866</v>
      </c>
      <c r="B107" s="4"/>
      <c r="C107" s="4">
        <v>0</v>
      </c>
      <c r="D107" s="4">
        <f t="shared" si="0"/>
        <v>14.18</v>
      </c>
      <c r="E107" s="4"/>
      <c r="F107" s="4"/>
      <c r="G107" s="4"/>
      <c r="H107" s="4"/>
    </row>
    <row r="108" ht="22.5" customHeight="1" spans="1:8">
      <c r="A108" s="3">
        <v>45867</v>
      </c>
      <c r="B108" s="4"/>
      <c r="C108" s="4">
        <v>0</v>
      </c>
      <c r="D108" s="4">
        <f t="shared" si="0"/>
        <v>14.18</v>
      </c>
      <c r="E108" s="4"/>
      <c r="F108" s="4"/>
      <c r="G108" s="4"/>
      <c r="H108" s="4"/>
    </row>
    <row r="109" ht="22.5" customHeight="1" spans="1:8">
      <c r="A109" s="3">
        <v>45868</v>
      </c>
      <c r="B109" s="4"/>
      <c r="C109" s="4">
        <v>0</v>
      </c>
      <c r="D109" s="4">
        <f t="shared" si="0"/>
        <v>14.18</v>
      </c>
      <c r="E109" s="4"/>
      <c r="F109" s="4"/>
      <c r="G109" s="4"/>
      <c r="H109" s="4"/>
    </row>
    <row r="110" ht="22.5" customHeight="1" spans="1:8">
      <c r="A110" s="3">
        <v>45869</v>
      </c>
      <c r="B110" s="4"/>
      <c r="C110" s="4">
        <v>0</v>
      </c>
      <c r="D110" s="4">
        <f t="shared" si="0"/>
        <v>14.18</v>
      </c>
      <c r="E110" s="4"/>
      <c r="F110" s="4"/>
      <c r="G110" s="4"/>
      <c r="H110" s="4"/>
    </row>
    <row r="111" ht="22.5" customHeight="1" spans="1:8">
      <c r="A111" s="3">
        <v>45870</v>
      </c>
      <c r="B111" s="4"/>
      <c r="C111" s="4">
        <v>0</v>
      </c>
      <c r="D111" s="4">
        <f t="shared" si="0"/>
        <v>14.18</v>
      </c>
      <c r="E111" s="4"/>
      <c r="F111" s="4"/>
      <c r="G111" s="4"/>
      <c r="H111" s="4"/>
    </row>
    <row r="112" ht="22.5" customHeight="1" spans="1:8">
      <c r="A112" s="3">
        <v>45871</v>
      </c>
      <c r="B112" s="4"/>
      <c r="C112" s="4">
        <v>0</v>
      </c>
      <c r="D112" s="4">
        <f t="shared" si="0"/>
        <v>14.18</v>
      </c>
      <c r="E112" s="4"/>
      <c r="F112" s="4"/>
      <c r="G112" s="4"/>
      <c r="H112" s="4"/>
    </row>
    <row r="113" ht="22.5" customHeight="1" spans="1:8">
      <c r="A113" s="3">
        <v>45872</v>
      </c>
      <c r="B113" s="4"/>
      <c r="C113" s="4">
        <v>0</v>
      </c>
      <c r="D113" s="4">
        <f t="shared" si="0"/>
        <v>14.18</v>
      </c>
      <c r="E113" s="4"/>
      <c r="F113" s="4"/>
      <c r="G113" s="4"/>
      <c r="H113" s="4"/>
    </row>
    <row r="114" ht="22.5" customHeight="1" spans="1:8">
      <c r="A114" s="3">
        <v>45873</v>
      </c>
      <c r="B114" s="4"/>
      <c r="C114" s="4">
        <v>0</v>
      </c>
      <c r="D114" s="4">
        <f t="shared" si="0"/>
        <v>14.18</v>
      </c>
      <c r="E114" s="4"/>
      <c r="F114" s="4"/>
      <c r="G114" s="4"/>
      <c r="H114" s="4"/>
    </row>
    <row r="115" ht="22.5" customHeight="1" spans="1:8">
      <c r="A115" s="3">
        <v>45874</v>
      </c>
      <c r="B115" s="4"/>
      <c r="C115" s="4">
        <v>0</v>
      </c>
      <c r="D115" s="4">
        <f t="shared" si="0"/>
        <v>14.18</v>
      </c>
      <c r="E115" s="4"/>
      <c r="F115" s="4"/>
      <c r="G115" s="4"/>
      <c r="H115" s="4"/>
    </row>
    <row r="116" ht="22.5" customHeight="1" spans="1:8">
      <c r="A116" s="3">
        <v>45875</v>
      </c>
      <c r="B116" s="4"/>
      <c r="C116" s="4">
        <v>0</v>
      </c>
      <c r="D116" s="4">
        <f t="shared" si="0"/>
        <v>14.18</v>
      </c>
      <c r="E116" s="4"/>
      <c r="F116" s="4"/>
      <c r="G116" s="4"/>
      <c r="H116" s="4"/>
    </row>
    <row r="117" ht="22.5" customHeight="1" spans="1:8">
      <c r="A117" s="3">
        <v>45876</v>
      </c>
      <c r="B117" s="4"/>
      <c r="C117" s="4">
        <v>0</v>
      </c>
      <c r="D117" s="4">
        <f t="shared" si="0"/>
        <v>14.18</v>
      </c>
      <c r="E117" s="4"/>
      <c r="F117" s="4"/>
      <c r="G117" s="4"/>
      <c r="H117" s="4"/>
    </row>
    <row r="118" ht="22.5" customHeight="1" spans="1:8">
      <c r="A118" s="3">
        <v>45877</v>
      </c>
      <c r="B118" s="4"/>
      <c r="C118" s="4">
        <v>0</v>
      </c>
      <c r="D118" s="4">
        <f t="shared" si="0"/>
        <v>14.18</v>
      </c>
      <c r="E118" s="4"/>
      <c r="F118" s="4"/>
      <c r="G118" s="4"/>
      <c r="H118" s="4"/>
    </row>
    <row r="119" ht="22.5" customHeight="1" spans="1:8">
      <c r="A119" s="3">
        <v>45878</v>
      </c>
      <c r="B119" s="4"/>
      <c r="C119" s="4">
        <v>0</v>
      </c>
      <c r="D119" s="4">
        <f t="shared" si="0"/>
        <v>14.18</v>
      </c>
      <c r="E119" s="4"/>
      <c r="F119" s="4"/>
      <c r="G119" s="4"/>
      <c r="H119" s="4"/>
    </row>
    <row r="120" ht="22.5" customHeight="1" spans="1:8">
      <c r="A120" s="3">
        <v>45879</v>
      </c>
      <c r="B120" s="4"/>
      <c r="C120" s="4">
        <v>0</v>
      </c>
      <c r="D120" s="4">
        <f t="shared" si="0"/>
        <v>14.18</v>
      </c>
      <c r="E120" s="4"/>
      <c r="F120" s="4"/>
      <c r="G120" s="4"/>
      <c r="H120" s="4"/>
    </row>
    <row r="121" ht="22.5" customHeight="1" spans="1:8">
      <c r="A121" s="3">
        <v>45880</v>
      </c>
      <c r="B121" s="4"/>
      <c r="C121" s="4">
        <v>0</v>
      </c>
      <c r="D121" s="4">
        <f t="shared" si="0"/>
        <v>14.18</v>
      </c>
      <c r="E121" s="4"/>
      <c r="F121" s="4"/>
      <c r="G121" s="4"/>
      <c r="H121" s="4"/>
    </row>
    <row r="122" ht="22.5" customHeight="1" spans="1:8">
      <c r="A122" s="3">
        <v>45881</v>
      </c>
      <c r="B122" s="4"/>
      <c r="C122" s="4">
        <v>0</v>
      </c>
      <c r="D122" s="4">
        <f t="shared" si="0"/>
        <v>14.18</v>
      </c>
      <c r="E122" s="4"/>
      <c r="F122" s="4"/>
      <c r="G122" s="4"/>
      <c r="H122" s="4"/>
    </row>
    <row r="123" ht="22.5" customHeight="1" spans="1:8">
      <c r="A123" s="3">
        <v>45882</v>
      </c>
      <c r="B123" s="4">
        <v>0.5</v>
      </c>
      <c r="C123" s="4">
        <v>0</v>
      </c>
      <c r="D123" s="4">
        <f t="shared" si="0"/>
        <v>14.68</v>
      </c>
      <c r="E123" s="4"/>
      <c r="F123" s="4"/>
      <c r="G123" s="4"/>
      <c r="H123" s="4"/>
    </row>
    <row r="124" ht="22.5" customHeight="1" spans="1:8">
      <c r="A124" s="3">
        <v>45883</v>
      </c>
      <c r="B124" s="4">
        <v>0.01</v>
      </c>
      <c r="C124" s="4">
        <v>0</v>
      </c>
      <c r="D124" s="4">
        <f t="shared" si="0"/>
        <v>14.69</v>
      </c>
      <c r="E124" s="4"/>
      <c r="F124" s="4"/>
      <c r="G124" s="4"/>
      <c r="H124" s="4"/>
    </row>
    <row r="125" ht="22.5" customHeight="1" spans="1:8">
      <c r="A125" s="3">
        <v>45884</v>
      </c>
      <c r="B125" s="4">
        <v>0.01</v>
      </c>
      <c r="C125" s="4">
        <v>0</v>
      </c>
      <c r="D125" s="4">
        <f t="shared" si="0"/>
        <v>14.7</v>
      </c>
      <c r="E125" s="4"/>
      <c r="F125" s="4"/>
      <c r="G125" s="4"/>
      <c r="H125" s="4"/>
    </row>
    <row r="126" ht="22.5" customHeight="1" spans="1:8">
      <c r="A126" s="3">
        <v>45885</v>
      </c>
      <c r="B126" s="4"/>
      <c r="C126" s="4">
        <v>0</v>
      </c>
      <c r="D126" s="4">
        <f t="shared" si="0"/>
        <v>14.7</v>
      </c>
      <c r="E126" s="4"/>
      <c r="F126" s="4"/>
      <c r="G126" s="4"/>
      <c r="H126" s="4"/>
    </row>
    <row r="127" ht="22.5" customHeight="1" spans="1:8">
      <c r="A127" s="3">
        <v>45886</v>
      </c>
      <c r="B127" s="4"/>
      <c r="C127" s="4">
        <v>0</v>
      </c>
      <c r="D127" s="4">
        <f t="shared" si="0"/>
        <v>14.7</v>
      </c>
      <c r="E127" s="4"/>
      <c r="F127" s="4"/>
      <c r="G127" s="4"/>
      <c r="H127" s="4"/>
    </row>
    <row r="128" ht="22.5" customHeight="1" spans="1:8">
      <c r="A128" s="3">
        <v>45887</v>
      </c>
      <c r="B128" s="4"/>
      <c r="C128" s="4">
        <v>0</v>
      </c>
      <c r="D128" s="4">
        <f t="shared" si="0"/>
        <v>14.7</v>
      </c>
      <c r="E128" s="4"/>
      <c r="F128" s="4"/>
      <c r="G128" s="4"/>
      <c r="H128" s="4"/>
    </row>
    <row r="129" ht="22.5" customHeight="1" spans="1:8">
      <c r="A129" s="3">
        <v>45888</v>
      </c>
      <c r="B129" s="4"/>
      <c r="C129" s="4">
        <v>0</v>
      </c>
      <c r="D129" s="4">
        <f t="shared" si="0"/>
        <v>14.7</v>
      </c>
      <c r="E129" s="4"/>
      <c r="F129" s="4"/>
      <c r="G129" s="4"/>
      <c r="H129" s="4"/>
    </row>
    <row r="130" ht="22.5" customHeight="1" spans="1:8">
      <c r="A130" s="3">
        <v>45889</v>
      </c>
      <c r="B130" s="4"/>
      <c r="C130" s="4">
        <v>0</v>
      </c>
      <c r="D130" s="4">
        <f t="shared" si="0"/>
        <v>14.7</v>
      </c>
      <c r="E130" s="4"/>
      <c r="F130" s="4"/>
      <c r="G130" s="4"/>
      <c r="H130" s="4"/>
    </row>
    <row r="131" ht="22.5" customHeight="1" spans="1:8">
      <c r="A131" s="3">
        <v>45890</v>
      </c>
      <c r="B131" s="4"/>
      <c r="C131" s="4">
        <v>0</v>
      </c>
      <c r="D131" s="4">
        <f t="shared" si="0"/>
        <v>14.7</v>
      </c>
      <c r="E131" s="4"/>
      <c r="F131" s="4"/>
      <c r="G131" s="4"/>
      <c r="H131" s="4"/>
    </row>
    <row r="132" ht="22.5" customHeight="1" spans="1:8">
      <c r="A132" s="3">
        <v>45891</v>
      </c>
      <c r="B132" s="4"/>
      <c r="C132" s="4">
        <v>0</v>
      </c>
      <c r="D132" s="4">
        <f t="shared" si="0"/>
        <v>14.7</v>
      </c>
      <c r="E132" s="4"/>
      <c r="F132" s="4"/>
      <c r="G132" s="4"/>
      <c r="H132" s="4"/>
    </row>
    <row r="133" ht="22.5" customHeight="1" spans="1:8">
      <c r="A133" s="3">
        <v>45892</v>
      </c>
      <c r="B133" s="4"/>
      <c r="C133" s="4">
        <v>0</v>
      </c>
      <c r="D133" s="4">
        <f t="shared" si="0"/>
        <v>14.7</v>
      </c>
      <c r="E133" s="4"/>
      <c r="F133" s="4"/>
      <c r="G133" s="4"/>
      <c r="H133" s="4"/>
    </row>
    <row r="134" ht="22.5" customHeight="1" spans="1:8">
      <c r="A134" s="3">
        <v>45893</v>
      </c>
      <c r="B134" s="4"/>
      <c r="C134" s="4">
        <v>0</v>
      </c>
      <c r="D134" s="4">
        <f t="shared" si="0"/>
        <v>14.7</v>
      </c>
      <c r="E134" s="4"/>
      <c r="F134" s="4"/>
      <c r="G134" s="4"/>
      <c r="H134" s="4"/>
    </row>
    <row r="135" ht="22.5" customHeight="1" spans="1:8">
      <c r="A135" s="3">
        <v>45894</v>
      </c>
      <c r="B135" s="4"/>
      <c r="C135" s="4">
        <v>0</v>
      </c>
      <c r="D135" s="4">
        <f t="shared" si="0"/>
        <v>14.7</v>
      </c>
      <c r="E135" s="4"/>
      <c r="F135" s="4"/>
      <c r="G135" s="4"/>
      <c r="H135" s="4"/>
    </row>
    <row r="136" ht="22.5" customHeight="1" spans="1:8">
      <c r="A136" s="3">
        <v>45895</v>
      </c>
      <c r="B136" s="4"/>
      <c r="C136" s="4">
        <v>0</v>
      </c>
      <c r="D136" s="4">
        <f t="shared" si="0"/>
        <v>14.7</v>
      </c>
      <c r="E136" s="4"/>
      <c r="F136" s="4"/>
      <c r="G136" s="4"/>
      <c r="H136" s="4"/>
    </row>
    <row r="137" ht="22.5" customHeight="1" spans="1:8">
      <c r="A137" s="3">
        <v>45896</v>
      </c>
      <c r="B137" s="4"/>
      <c r="C137" s="4">
        <v>0</v>
      </c>
      <c r="D137" s="4">
        <f t="shared" si="0"/>
        <v>14.7</v>
      </c>
      <c r="E137" s="4"/>
      <c r="F137" s="4"/>
      <c r="G137" s="4"/>
      <c r="H137" s="4"/>
    </row>
    <row r="138" ht="22.5" customHeight="1" spans="1:8">
      <c r="A138" s="3">
        <v>45897</v>
      </c>
      <c r="B138" s="4"/>
      <c r="C138" s="4">
        <v>0</v>
      </c>
      <c r="D138" s="4">
        <f t="shared" si="0"/>
        <v>14.7</v>
      </c>
      <c r="E138" s="4"/>
      <c r="F138" s="4"/>
      <c r="G138" s="4"/>
      <c r="H138" s="4"/>
    </row>
    <row r="139" ht="22.5" customHeight="1" spans="1:8">
      <c r="A139" s="3">
        <v>45898</v>
      </c>
      <c r="B139" s="4"/>
      <c r="C139" s="4">
        <v>0</v>
      </c>
      <c r="D139" s="4">
        <f t="shared" si="0"/>
        <v>14.7</v>
      </c>
      <c r="E139" s="4"/>
      <c r="F139" s="4"/>
      <c r="G139" s="4"/>
      <c r="H139" s="4"/>
    </row>
    <row r="140" ht="22.5" customHeight="1" spans="1:8">
      <c r="A140" s="3">
        <v>45899</v>
      </c>
      <c r="B140" s="4"/>
      <c r="C140" s="4">
        <v>0</v>
      </c>
      <c r="D140" s="4">
        <f t="shared" si="0"/>
        <v>14.7</v>
      </c>
      <c r="E140" s="4"/>
      <c r="F140" s="4"/>
      <c r="G140" s="4"/>
      <c r="H140" s="4"/>
    </row>
    <row r="141" ht="22.5" customHeight="1" spans="1:8">
      <c r="A141" s="3">
        <v>45900</v>
      </c>
      <c r="B141" s="4"/>
      <c r="C141" s="4">
        <v>0</v>
      </c>
      <c r="D141" s="4">
        <f t="shared" si="0"/>
        <v>14.7</v>
      </c>
      <c r="E141" s="4"/>
      <c r="F141" s="4"/>
      <c r="G141" s="4"/>
      <c r="H141" s="4"/>
    </row>
    <row r="142" ht="22.5" customHeight="1" spans="1:8">
      <c r="A142" s="3">
        <v>45901</v>
      </c>
      <c r="B142" s="4"/>
      <c r="C142" s="4">
        <v>0</v>
      </c>
      <c r="D142" s="4">
        <f t="shared" si="0"/>
        <v>14.7</v>
      </c>
      <c r="E142" s="4"/>
      <c r="F142" s="4"/>
      <c r="G142" s="4"/>
      <c r="H142" s="4"/>
    </row>
    <row r="143" ht="22.5" customHeight="1" spans="1:8">
      <c r="A143" s="3">
        <v>45902</v>
      </c>
      <c r="B143" s="4"/>
      <c r="C143" s="4">
        <v>0</v>
      </c>
      <c r="D143" s="4">
        <f t="shared" si="0"/>
        <v>14.7</v>
      </c>
      <c r="E143" s="4"/>
      <c r="F143" s="4"/>
      <c r="G143" s="4"/>
      <c r="H143" s="4"/>
    </row>
    <row r="144" ht="22.5" customHeight="1" spans="1:8">
      <c r="A144" s="3">
        <v>45903</v>
      </c>
      <c r="B144" s="4"/>
      <c r="C144" s="4">
        <v>0</v>
      </c>
      <c r="D144" s="4">
        <f t="shared" si="0"/>
        <v>14.7</v>
      </c>
      <c r="E144" s="4"/>
      <c r="F144" s="4"/>
      <c r="G144" s="4"/>
      <c r="H144" s="4"/>
    </row>
    <row r="145" ht="22.5" customHeight="1" spans="1:8">
      <c r="A145" s="3">
        <v>45904</v>
      </c>
      <c r="B145" s="4"/>
      <c r="C145" s="4">
        <v>0</v>
      </c>
      <c r="D145" s="4">
        <f t="shared" si="0"/>
        <v>14.7</v>
      </c>
      <c r="E145" s="4"/>
      <c r="F145" s="4"/>
      <c r="G145" s="4"/>
      <c r="H145" s="4"/>
    </row>
    <row r="146" ht="22.5" customHeight="1" spans="1:8">
      <c r="A146" s="3">
        <v>45905</v>
      </c>
      <c r="B146" s="4"/>
      <c r="C146" s="4">
        <v>0</v>
      </c>
      <c r="D146" s="4">
        <f t="shared" si="0"/>
        <v>14.7</v>
      </c>
      <c r="E146" s="4"/>
      <c r="F146" s="4"/>
      <c r="G146" s="4"/>
      <c r="H146" s="4"/>
    </row>
    <row r="147" ht="22.5" customHeight="1" spans="1:8">
      <c r="A147" s="3">
        <v>45906</v>
      </c>
      <c r="B147" s="4"/>
      <c r="C147" s="4">
        <v>0</v>
      </c>
      <c r="D147" s="4">
        <f t="shared" si="0"/>
        <v>14.7</v>
      </c>
      <c r="E147" s="4"/>
      <c r="F147" s="4"/>
      <c r="G147" s="4"/>
      <c r="H147" s="4"/>
    </row>
    <row r="148" ht="22.5" customHeight="1" spans="1:8">
      <c r="A148" s="3">
        <v>45907</v>
      </c>
      <c r="B148" s="4"/>
      <c r="C148" s="4">
        <v>0</v>
      </c>
      <c r="D148" s="4">
        <f t="shared" si="0"/>
        <v>14.7</v>
      </c>
      <c r="E148" s="4"/>
      <c r="F148" s="4"/>
      <c r="G148" s="4"/>
      <c r="H148" s="4"/>
    </row>
    <row r="149" ht="22.5" customHeight="1" spans="1:8">
      <c r="A149" s="3">
        <v>45908</v>
      </c>
      <c r="B149" s="4"/>
      <c r="C149" s="4">
        <v>0</v>
      </c>
      <c r="D149" s="4">
        <f t="shared" si="0"/>
        <v>14.7</v>
      </c>
      <c r="E149" s="4"/>
      <c r="F149" s="4"/>
      <c r="G149" s="4"/>
      <c r="H149" s="4"/>
    </row>
    <row r="150" ht="22.5" customHeight="1" spans="1:8">
      <c r="A150" s="3">
        <v>45909</v>
      </c>
      <c r="B150" s="4"/>
      <c r="C150" s="4">
        <v>0</v>
      </c>
      <c r="D150" s="4">
        <f t="shared" si="0"/>
        <v>14.7</v>
      </c>
      <c r="E150" s="4"/>
      <c r="F150" s="4"/>
      <c r="G150" s="4"/>
      <c r="H150" s="4"/>
    </row>
    <row r="151" ht="22.5" customHeight="1" spans="1:8">
      <c r="A151" s="3">
        <v>45910</v>
      </c>
      <c r="B151" s="4"/>
      <c r="C151" s="4">
        <v>0</v>
      </c>
      <c r="D151" s="4">
        <f t="shared" si="0"/>
        <v>14.7</v>
      </c>
      <c r="E151" s="4"/>
      <c r="F151" s="4"/>
      <c r="G151" s="4"/>
      <c r="H151" s="4"/>
    </row>
    <row r="152" ht="22.5" customHeight="1" spans="1:8">
      <c r="A152" s="3">
        <v>45911</v>
      </c>
      <c r="B152" s="4"/>
      <c r="C152" s="4">
        <v>0</v>
      </c>
      <c r="D152" s="4">
        <f t="shared" si="0"/>
        <v>14.7</v>
      </c>
      <c r="E152" s="4"/>
      <c r="F152" s="4"/>
      <c r="G152" s="4"/>
      <c r="H152" s="4"/>
    </row>
    <row r="153" ht="22.5" customHeight="1" spans="1:8">
      <c r="A153" s="3">
        <v>45912</v>
      </c>
      <c r="B153" s="4"/>
      <c r="C153" s="4">
        <v>0</v>
      </c>
      <c r="D153" s="4">
        <f t="shared" si="0"/>
        <v>14.7</v>
      </c>
      <c r="E153" s="4"/>
      <c r="F153" s="4"/>
      <c r="G153" s="4"/>
      <c r="H153" s="4"/>
    </row>
    <row r="154" ht="22.5" customHeight="1" spans="1:8">
      <c r="A154" s="3">
        <v>45913</v>
      </c>
      <c r="B154" s="4"/>
      <c r="C154" s="4">
        <v>0</v>
      </c>
      <c r="D154" s="4">
        <f t="shared" si="0"/>
        <v>14.7</v>
      </c>
      <c r="E154" s="4"/>
      <c r="F154" s="4"/>
      <c r="G154" s="4"/>
      <c r="H154" s="4"/>
    </row>
    <row r="155" ht="22.5" customHeight="1" spans="1:8">
      <c r="A155" s="3">
        <v>45914</v>
      </c>
      <c r="B155" s="4"/>
      <c r="C155" s="4">
        <v>0</v>
      </c>
      <c r="D155" s="4">
        <f t="shared" si="0"/>
        <v>14.7</v>
      </c>
      <c r="E155" s="4"/>
      <c r="F155" s="4"/>
      <c r="G155" s="4"/>
      <c r="H155" s="4"/>
    </row>
    <row r="156" ht="22.5" customHeight="1" spans="1:8">
      <c r="A156" s="3">
        <v>45915</v>
      </c>
      <c r="B156" s="4"/>
      <c r="C156" s="4">
        <v>0</v>
      </c>
      <c r="D156" s="4">
        <f t="shared" si="0"/>
        <v>14.7</v>
      </c>
      <c r="E156" s="4"/>
      <c r="F156" s="4"/>
      <c r="G156" s="4"/>
      <c r="H156" s="4"/>
    </row>
    <row r="157" ht="22.5" customHeight="1" spans="1:8">
      <c r="A157" s="3">
        <v>45916</v>
      </c>
      <c r="B157" s="4"/>
      <c r="C157" s="4">
        <v>0</v>
      </c>
      <c r="D157" s="4">
        <f t="shared" si="0"/>
        <v>14.7</v>
      </c>
      <c r="E157" s="4"/>
      <c r="F157" s="4"/>
      <c r="G157" s="4"/>
      <c r="H157" s="4"/>
    </row>
    <row r="158" ht="22.5" customHeight="1" spans="1:8">
      <c r="A158" s="3">
        <v>45917</v>
      </c>
      <c r="B158" s="4"/>
      <c r="C158" s="4">
        <v>0</v>
      </c>
      <c r="D158" s="4">
        <f t="shared" si="0"/>
        <v>14.7</v>
      </c>
      <c r="E158" s="4"/>
      <c r="F158" s="4"/>
      <c r="G158" s="4"/>
      <c r="H158" s="4"/>
    </row>
    <row r="159" ht="22.5" customHeight="1" spans="1:8">
      <c r="A159" s="3">
        <v>45918</v>
      </c>
      <c r="B159" s="4"/>
      <c r="C159" s="4">
        <v>0</v>
      </c>
      <c r="D159" s="4">
        <f t="shared" si="0"/>
        <v>14.7</v>
      </c>
      <c r="E159" s="4"/>
      <c r="F159" s="4"/>
      <c r="G159" s="4"/>
      <c r="H159" s="4"/>
    </row>
    <row r="160" ht="22.5" customHeight="1" spans="1:8">
      <c r="A160" s="3">
        <v>45919</v>
      </c>
      <c r="B160" s="4"/>
      <c r="C160" s="4">
        <v>0</v>
      </c>
      <c r="D160" s="4">
        <f t="shared" si="0"/>
        <v>14.7</v>
      </c>
      <c r="E160" s="4"/>
      <c r="F160" s="4"/>
      <c r="G160" s="4"/>
      <c r="H160" s="4"/>
    </row>
    <row r="161" ht="22.5" customHeight="1" spans="1:8">
      <c r="A161" s="3">
        <v>45920</v>
      </c>
      <c r="B161" s="4"/>
      <c r="C161" s="4">
        <v>0</v>
      </c>
      <c r="D161" s="4">
        <f t="shared" si="0"/>
        <v>14.7</v>
      </c>
      <c r="E161" s="4"/>
      <c r="F161" s="4"/>
      <c r="G161" s="4"/>
      <c r="H161" s="4"/>
    </row>
    <row r="162" ht="22.5" customHeight="1" spans="1:8">
      <c r="A162" s="3">
        <v>45921</v>
      </c>
      <c r="B162" s="4"/>
      <c r="C162" s="4">
        <v>0</v>
      </c>
      <c r="D162" s="4">
        <f t="shared" si="0"/>
        <v>14.7</v>
      </c>
      <c r="E162" s="4"/>
      <c r="F162" s="4"/>
      <c r="G162" s="4"/>
      <c r="H162" s="4"/>
    </row>
    <row r="163" ht="22.5" customHeight="1" spans="1:8">
      <c r="A163" s="3">
        <v>45922</v>
      </c>
      <c r="B163" s="4"/>
      <c r="C163" s="4">
        <v>0</v>
      </c>
      <c r="D163" s="4">
        <f t="shared" si="0"/>
        <v>14.7</v>
      </c>
      <c r="E163" s="4"/>
      <c r="F163" s="4"/>
      <c r="G163" s="4"/>
      <c r="H163" s="4"/>
    </row>
    <row r="164" ht="22.5" customHeight="1" spans="1:8">
      <c r="A164" s="3">
        <v>45923</v>
      </c>
      <c r="B164" s="4"/>
      <c r="C164" s="4">
        <v>0</v>
      </c>
      <c r="D164" s="4">
        <f t="shared" si="0"/>
        <v>14.7</v>
      </c>
      <c r="E164" s="4"/>
      <c r="F164" s="4"/>
      <c r="G164" s="4"/>
      <c r="H164" s="4"/>
    </row>
    <row r="165" ht="22.5" customHeight="1" spans="1:8">
      <c r="A165" s="3">
        <v>45924</v>
      </c>
      <c r="B165" s="4"/>
      <c r="C165" s="4">
        <v>0</v>
      </c>
      <c r="D165" s="4">
        <f t="shared" si="0"/>
        <v>14.7</v>
      </c>
      <c r="E165" s="4"/>
      <c r="F165" s="4"/>
      <c r="G165" s="4"/>
      <c r="H165" s="4"/>
    </row>
    <row r="166" ht="22.5" customHeight="1" spans="1:8">
      <c r="A166" s="3">
        <v>45925</v>
      </c>
      <c r="B166" s="4"/>
      <c r="C166" s="4">
        <v>0</v>
      </c>
      <c r="D166" s="4">
        <f t="shared" si="0"/>
        <v>14.7</v>
      </c>
      <c r="E166" s="4"/>
      <c r="F166" s="4"/>
      <c r="G166" s="4"/>
      <c r="H166" s="4"/>
    </row>
    <row r="167" ht="22.5" customHeight="1" spans="1:8">
      <c r="A167" s="3">
        <v>45926</v>
      </c>
      <c r="B167" s="4"/>
      <c r="C167" s="4">
        <v>0</v>
      </c>
      <c r="D167" s="4">
        <f t="shared" si="0"/>
        <v>14.7</v>
      </c>
      <c r="E167" s="4"/>
      <c r="F167" s="4"/>
      <c r="G167" s="4"/>
      <c r="H167" s="4"/>
    </row>
    <row r="168" ht="22.5" customHeight="1" spans="1:8">
      <c r="A168" s="3">
        <v>45927</v>
      </c>
      <c r="B168" s="4"/>
      <c r="C168" s="4">
        <v>0</v>
      </c>
      <c r="D168" s="4">
        <f t="shared" si="0"/>
        <v>14.7</v>
      </c>
      <c r="E168" s="4"/>
      <c r="F168" s="4"/>
      <c r="G168" s="4"/>
      <c r="H168" s="4"/>
    </row>
    <row r="169" ht="22.5" customHeight="1" spans="1:8">
      <c r="A169" s="3">
        <v>45928</v>
      </c>
      <c r="B169" s="4"/>
      <c r="C169" s="4">
        <v>0</v>
      </c>
      <c r="D169" s="4">
        <f t="shared" si="0"/>
        <v>14.7</v>
      </c>
      <c r="E169" s="4"/>
      <c r="F169" s="4"/>
      <c r="G169" s="4"/>
      <c r="H169" s="4"/>
    </row>
    <row r="170" ht="22.5" customHeight="1" spans="1:8">
      <c r="A170" s="3">
        <v>45929</v>
      </c>
      <c r="B170" s="4"/>
      <c r="C170" s="4">
        <v>0</v>
      </c>
      <c r="D170" s="4">
        <f t="shared" si="0"/>
        <v>14.7</v>
      </c>
      <c r="E170" s="4"/>
      <c r="F170" s="4"/>
      <c r="G170" s="4"/>
      <c r="H170" s="4"/>
    </row>
    <row r="171" ht="22.5" customHeight="1" spans="1:8">
      <c r="A171" s="3">
        <v>45930</v>
      </c>
      <c r="B171" s="4"/>
      <c r="C171" s="4">
        <v>0</v>
      </c>
      <c r="D171" s="4">
        <f t="shared" si="0"/>
        <v>14.7</v>
      </c>
      <c r="E171" s="4"/>
      <c r="F171" s="4"/>
      <c r="G171" s="4"/>
      <c r="H171" s="4"/>
    </row>
    <row r="172" ht="22.5" customHeight="1" spans="1:8">
      <c r="A172" s="3">
        <v>45931</v>
      </c>
      <c r="B172" s="4"/>
      <c r="C172" s="4">
        <v>0</v>
      </c>
      <c r="D172" s="4">
        <f t="shared" si="0"/>
        <v>14.7</v>
      </c>
      <c r="E172" s="4"/>
      <c r="F172" s="4"/>
      <c r="G172" s="4"/>
      <c r="H172" s="4"/>
    </row>
    <row r="173" ht="22.5" customHeight="1" spans="1:8">
      <c r="A173" s="3">
        <v>45932</v>
      </c>
      <c r="B173" s="4"/>
      <c r="C173" s="4">
        <v>0</v>
      </c>
      <c r="D173" s="4">
        <f t="shared" si="0"/>
        <v>14.7</v>
      </c>
      <c r="E173" s="4"/>
      <c r="F173" s="4"/>
      <c r="G173" s="4"/>
      <c r="H173" s="4"/>
    </row>
    <row r="174" ht="22.5" customHeight="1" spans="1:8">
      <c r="A174" s="3">
        <v>45933</v>
      </c>
      <c r="B174" s="4"/>
      <c r="C174" s="4">
        <v>0</v>
      </c>
      <c r="D174" s="4">
        <f t="shared" si="0"/>
        <v>14.7</v>
      </c>
      <c r="E174" s="4"/>
      <c r="F174" s="4"/>
      <c r="G174" s="4"/>
      <c r="H174" s="4"/>
    </row>
    <row r="175" ht="22.5" customHeight="1" spans="1:8">
      <c r="A175" s="3">
        <v>45934</v>
      </c>
      <c r="B175" s="4"/>
      <c r="C175" s="4">
        <v>0</v>
      </c>
      <c r="D175" s="4">
        <f t="shared" si="0"/>
        <v>14.7</v>
      </c>
      <c r="E175" s="4"/>
      <c r="F175" s="4"/>
      <c r="G175" s="4"/>
      <c r="H175" s="4"/>
    </row>
    <row r="176" ht="22.5" customHeight="1" spans="1:8">
      <c r="A176" s="3">
        <v>45935</v>
      </c>
      <c r="B176" s="4"/>
      <c r="C176" s="4">
        <v>0</v>
      </c>
      <c r="D176" s="4">
        <f t="shared" si="0"/>
        <v>14.7</v>
      </c>
      <c r="E176" s="4"/>
      <c r="F176" s="4"/>
      <c r="G176" s="4"/>
      <c r="H176" s="4"/>
    </row>
    <row r="177" ht="22.5" customHeight="1" spans="1:8">
      <c r="A177" s="3">
        <v>45936</v>
      </c>
      <c r="B177" s="4"/>
      <c r="C177" s="4">
        <v>0</v>
      </c>
      <c r="D177" s="4">
        <f t="shared" si="0"/>
        <v>14.7</v>
      </c>
      <c r="E177" s="4"/>
      <c r="F177" s="4"/>
      <c r="G177" s="4"/>
      <c r="H177" s="4"/>
    </row>
    <row r="178" ht="22.5" customHeight="1" spans="1:8">
      <c r="A178" s="3">
        <v>45937</v>
      </c>
      <c r="B178" s="4"/>
      <c r="C178" s="4">
        <v>0</v>
      </c>
      <c r="D178" s="4">
        <f t="shared" si="0"/>
        <v>14.7</v>
      </c>
      <c r="E178" s="4"/>
      <c r="F178" s="4"/>
      <c r="G178" s="4"/>
      <c r="H178" s="4"/>
    </row>
    <row r="179" ht="22.5" customHeight="1" spans="1:8">
      <c r="A179" s="3">
        <v>45938</v>
      </c>
      <c r="B179" s="4"/>
      <c r="C179" s="4">
        <v>0</v>
      </c>
      <c r="D179" s="4">
        <f t="shared" si="0"/>
        <v>14.7</v>
      </c>
      <c r="E179" s="4"/>
      <c r="F179" s="4"/>
      <c r="G179" s="4"/>
      <c r="H179" s="4"/>
    </row>
    <row r="180" ht="22.5" customHeight="1" spans="1:8">
      <c r="A180" s="3">
        <v>45939</v>
      </c>
      <c r="B180" s="4"/>
      <c r="C180" s="4">
        <v>0</v>
      </c>
      <c r="D180" s="4">
        <f t="shared" si="0"/>
        <v>14.7</v>
      </c>
      <c r="E180" s="4"/>
      <c r="F180" s="4"/>
      <c r="G180" s="4"/>
      <c r="H180" s="4"/>
    </row>
    <row r="181" ht="22.5" customHeight="1" spans="1:8">
      <c r="A181" s="3">
        <v>45940</v>
      </c>
      <c r="B181" s="4"/>
      <c r="C181" s="4">
        <v>0</v>
      </c>
      <c r="D181" s="4">
        <f t="shared" si="0"/>
        <v>14.7</v>
      </c>
      <c r="E181" s="4"/>
      <c r="F181" s="4"/>
      <c r="G181" s="4"/>
      <c r="H181" s="4"/>
    </row>
    <row r="182" ht="22.5" customHeight="1" spans="1:8">
      <c r="A182" s="3">
        <v>45941</v>
      </c>
      <c r="B182" s="4"/>
      <c r="C182" s="4">
        <v>0</v>
      </c>
      <c r="D182" s="4">
        <f t="shared" si="0"/>
        <v>14.7</v>
      </c>
      <c r="E182" s="4"/>
      <c r="F182" s="4"/>
      <c r="G182" s="4"/>
      <c r="H182" s="4"/>
    </row>
    <row r="183" ht="22.5" customHeight="1" spans="1:8">
      <c r="A183" s="3">
        <v>45942</v>
      </c>
      <c r="B183" s="4"/>
      <c r="C183" s="4">
        <v>0</v>
      </c>
      <c r="D183" s="4">
        <f t="shared" si="0"/>
        <v>14.7</v>
      </c>
      <c r="E183" s="4"/>
      <c r="F183" s="4"/>
      <c r="G183" s="4"/>
      <c r="H183" s="4"/>
    </row>
    <row r="184" ht="22.5" customHeight="1" spans="1:8">
      <c r="A184" s="3">
        <v>45943</v>
      </c>
      <c r="B184" s="4"/>
      <c r="C184" s="4">
        <v>0</v>
      </c>
      <c r="D184" s="4">
        <f t="shared" si="0"/>
        <v>14.7</v>
      </c>
      <c r="E184" s="4"/>
      <c r="F184" s="4"/>
      <c r="G184" s="4"/>
      <c r="H184" s="4"/>
    </row>
    <row r="185" ht="22.5" customHeight="1" spans="1:8">
      <c r="A185" s="3">
        <v>45944</v>
      </c>
      <c r="B185" s="4"/>
      <c r="C185" s="4">
        <v>0</v>
      </c>
      <c r="D185" s="4">
        <f t="shared" si="0"/>
        <v>14.7</v>
      </c>
      <c r="E185" s="4"/>
      <c r="F185" s="4"/>
      <c r="G185" s="4"/>
      <c r="H185" s="4"/>
    </row>
    <row r="186" ht="22.5" customHeight="1" spans="1:8">
      <c r="A186" s="3">
        <v>45945</v>
      </c>
      <c r="B186" s="4"/>
      <c r="C186" s="4">
        <v>0</v>
      </c>
      <c r="D186" s="4">
        <f t="shared" si="0"/>
        <v>14.7</v>
      </c>
      <c r="E186" s="4"/>
      <c r="F186" s="4"/>
      <c r="G186" s="4"/>
      <c r="H186" s="4"/>
    </row>
    <row r="187" ht="22.5" customHeight="1" spans="1:8">
      <c r="A187" s="3">
        <v>45946</v>
      </c>
      <c r="B187" s="4"/>
      <c r="C187" s="4">
        <v>0</v>
      </c>
      <c r="D187" s="4">
        <f t="shared" si="0"/>
        <v>14.7</v>
      </c>
      <c r="E187" s="4"/>
      <c r="F187" s="4"/>
      <c r="G187" s="4"/>
      <c r="H187" s="4"/>
    </row>
    <row r="188" ht="22.5" customHeight="1" spans="1:8">
      <c r="A188" s="3">
        <v>45947</v>
      </c>
      <c r="B188" s="4"/>
      <c r="C188" s="4">
        <v>0</v>
      </c>
      <c r="D188" s="4">
        <f t="shared" si="0"/>
        <v>14.7</v>
      </c>
      <c r="E188" s="4"/>
      <c r="F188" s="4"/>
      <c r="G188" s="4"/>
      <c r="H188" s="4"/>
    </row>
    <row r="189" ht="22.5" customHeight="1" spans="1:8">
      <c r="A189" s="3">
        <v>45948</v>
      </c>
      <c r="B189" s="4"/>
      <c r="C189" s="4">
        <v>0</v>
      </c>
      <c r="D189" s="4">
        <f t="shared" si="0"/>
        <v>14.7</v>
      </c>
      <c r="E189" s="4"/>
      <c r="F189" s="4"/>
      <c r="G189" s="4"/>
      <c r="H189" s="4"/>
    </row>
    <row r="190" ht="22.5" customHeight="1" spans="1:8">
      <c r="A190" s="3">
        <v>45949</v>
      </c>
      <c r="B190" s="4"/>
      <c r="C190" s="4">
        <v>0</v>
      </c>
      <c r="D190" s="4">
        <f t="shared" si="0"/>
        <v>14.7</v>
      </c>
      <c r="E190" s="4"/>
      <c r="F190" s="4"/>
      <c r="G190" s="4"/>
      <c r="H190" s="4"/>
    </row>
    <row r="191" ht="22.5" customHeight="1" spans="1:8">
      <c r="A191" s="3">
        <v>45950</v>
      </c>
      <c r="B191" s="4"/>
      <c r="C191" s="4">
        <v>0</v>
      </c>
      <c r="D191" s="4">
        <f t="shared" si="0"/>
        <v>14.7</v>
      </c>
      <c r="E191" s="4"/>
      <c r="F191" s="4"/>
      <c r="G191" s="4"/>
      <c r="H191" s="4"/>
    </row>
    <row r="192" ht="22.5" customHeight="1" spans="1:8">
      <c r="A192" s="3">
        <v>45951</v>
      </c>
      <c r="B192" s="4"/>
      <c r="C192" s="4">
        <v>0</v>
      </c>
      <c r="D192" s="4">
        <f t="shared" si="0"/>
        <v>14.7</v>
      </c>
      <c r="E192" s="4"/>
      <c r="F192" s="4"/>
      <c r="G192" s="4"/>
      <c r="H192" s="4"/>
    </row>
    <row r="193" ht="22.5" customHeight="1" spans="1:8">
      <c r="A193" s="3">
        <v>45952</v>
      </c>
      <c r="B193" s="4"/>
      <c r="C193" s="4">
        <v>0</v>
      </c>
      <c r="D193" s="4">
        <f t="shared" si="0"/>
        <v>14.7</v>
      </c>
      <c r="E193" s="4"/>
      <c r="F193" s="4"/>
      <c r="G193" s="4"/>
      <c r="H193" s="4"/>
    </row>
    <row r="194" ht="22.5" customHeight="1" spans="1:8">
      <c r="A194" s="3">
        <v>45953</v>
      </c>
      <c r="B194" s="4"/>
      <c r="C194" s="4">
        <v>0</v>
      </c>
      <c r="D194" s="4">
        <f t="shared" si="0"/>
        <v>14.7</v>
      </c>
      <c r="E194" s="4"/>
      <c r="F194" s="4"/>
      <c r="G194" s="4"/>
      <c r="H194" s="4"/>
    </row>
    <row r="195" ht="22.5" customHeight="1" spans="1:8">
      <c r="A195" s="3">
        <v>45954</v>
      </c>
      <c r="B195" s="4"/>
      <c r="C195" s="4">
        <v>0</v>
      </c>
      <c r="D195" s="4">
        <f t="shared" si="0"/>
        <v>14.7</v>
      </c>
      <c r="E195" s="4"/>
      <c r="F195" s="4"/>
      <c r="G195" s="4"/>
      <c r="H195" s="4"/>
    </row>
    <row r="196" ht="22.5" customHeight="1" spans="1:8">
      <c r="A196" s="3">
        <v>45955</v>
      </c>
      <c r="B196" s="4"/>
      <c r="C196" s="4">
        <v>0</v>
      </c>
      <c r="D196" s="4">
        <f t="shared" si="0"/>
        <v>14.7</v>
      </c>
      <c r="E196" s="4"/>
      <c r="F196" s="4"/>
      <c r="G196" s="4"/>
      <c r="H196" s="4"/>
    </row>
    <row r="197" ht="22.5" customHeight="1" spans="1:8">
      <c r="A197" s="3">
        <v>45956</v>
      </c>
      <c r="B197" s="4"/>
      <c r="C197" s="4">
        <v>0</v>
      </c>
      <c r="D197" s="4">
        <f t="shared" si="0"/>
        <v>14.7</v>
      </c>
      <c r="E197" s="4"/>
      <c r="F197" s="4"/>
      <c r="G197" s="4"/>
      <c r="H197" s="4"/>
    </row>
    <row r="198" ht="22.5" customHeight="1" spans="1:8">
      <c r="A198" s="3">
        <v>45957</v>
      </c>
      <c r="B198" s="4"/>
      <c r="C198" s="4">
        <v>0</v>
      </c>
      <c r="D198" s="4">
        <f t="shared" si="0"/>
        <v>14.7</v>
      </c>
      <c r="E198" s="4"/>
      <c r="F198" s="4"/>
      <c r="G198" s="4"/>
      <c r="H198" s="4"/>
    </row>
    <row r="199" ht="22.5" customHeight="1" spans="1:8">
      <c r="A199" s="3">
        <v>45958</v>
      </c>
      <c r="B199" s="4"/>
      <c r="C199" s="4">
        <v>0</v>
      </c>
      <c r="D199" s="4">
        <f t="shared" si="0"/>
        <v>14.7</v>
      </c>
      <c r="E199" s="4"/>
      <c r="F199" s="4"/>
      <c r="G199" s="4"/>
      <c r="H199" s="4"/>
    </row>
    <row r="200" ht="22.5" customHeight="1" spans="1:8">
      <c r="A200" s="3">
        <v>45959</v>
      </c>
      <c r="B200" s="4"/>
      <c r="C200" s="4">
        <v>0</v>
      </c>
      <c r="D200" s="4">
        <f t="shared" si="0"/>
        <v>14.7</v>
      </c>
      <c r="E200" s="4"/>
      <c r="F200" s="4"/>
      <c r="G200" s="4"/>
      <c r="H200" s="4"/>
    </row>
    <row r="201" ht="22.5" customHeight="1" spans="1:8">
      <c r="A201" s="3">
        <v>45960</v>
      </c>
      <c r="B201" s="4"/>
      <c r="C201" s="4">
        <v>0</v>
      </c>
      <c r="D201" s="4">
        <f t="shared" si="0"/>
        <v>14.7</v>
      </c>
      <c r="E201" s="4"/>
      <c r="F201" s="4"/>
      <c r="G201" s="4"/>
      <c r="H201" s="4"/>
    </row>
    <row r="202" ht="22.5" customHeight="1" spans="1:8">
      <c r="A202" s="3">
        <v>45961</v>
      </c>
      <c r="B202" s="4"/>
      <c r="C202" s="4">
        <v>0</v>
      </c>
      <c r="D202" s="4">
        <f t="shared" si="0"/>
        <v>14.7</v>
      </c>
      <c r="E202" s="4"/>
      <c r="F202" s="4"/>
      <c r="G202" s="4"/>
      <c r="H202" s="4"/>
    </row>
    <row r="203" ht="22.5" customHeight="1" spans="1:8">
      <c r="A203" s="3">
        <v>45962</v>
      </c>
      <c r="B203" s="4"/>
      <c r="C203" s="4">
        <v>0</v>
      </c>
      <c r="D203" s="4">
        <f t="shared" si="0"/>
        <v>14.7</v>
      </c>
      <c r="E203" s="4"/>
      <c r="F203" s="4"/>
      <c r="G203" s="4"/>
      <c r="H203" s="4"/>
    </row>
    <row r="204" ht="22.5" customHeight="1" spans="1:8">
      <c r="A204" s="3">
        <v>45963</v>
      </c>
      <c r="B204" s="4"/>
      <c r="C204" s="4">
        <v>0</v>
      </c>
      <c r="D204" s="4">
        <f t="shared" si="0"/>
        <v>14.7</v>
      </c>
      <c r="E204" s="4"/>
      <c r="F204" s="4"/>
      <c r="G204" s="4"/>
      <c r="H204" s="4"/>
    </row>
    <row r="205" ht="22.5" customHeight="1" spans="1:8">
      <c r="A205" s="3">
        <v>45964</v>
      </c>
      <c r="B205" s="4"/>
      <c r="C205" s="4">
        <v>0</v>
      </c>
      <c r="D205" s="4">
        <f t="shared" si="0"/>
        <v>14.7</v>
      </c>
      <c r="E205" s="4"/>
      <c r="F205" s="4"/>
      <c r="G205" s="4"/>
      <c r="H205" s="4"/>
    </row>
    <row r="206" ht="22.5" customHeight="1" spans="1:8">
      <c r="A206" s="3">
        <v>45965</v>
      </c>
      <c r="B206" s="4"/>
      <c r="C206" s="4">
        <v>0</v>
      </c>
      <c r="D206" s="4">
        <f t="shared" si="0"/>
        <v>14.7</v>
      </c>
      <c r="E206" s="4"/>
      <c r="F206" s="4"/>
      <c r="G206" s="4"/>
      <c r="H206" s="4"/>
    </row>
    <row r="207" ht="22.5" customHeight="1" spans="1:8">
      <c r="A207" s="3">
        <v>45966</v>
      </c>
      <c r="B207" s="4"/>
      <c r="C207" s="4">
        <v>0</v>
      </c>
      <c r="D207" s="4">
        <f t="shared" si="0"/>
        <v>14.7</v>
      </c>
      <c r="E207" s="4"/>
      <c r="F207" s="4"/>
      <c r="G207" s="4"/>
      <c r="H207" s="4"/>
    </row>
    <row r="208" ht="22.5" customHeight="1" spans="1:8">
      <c r="A208" s="3">
        <v>45967</v>
      </c>
      <c r="B208" s="4"/>
      <c r="C208" s="4">
        <v>0</v>
      </c>
      <c r="D208" s="4">
        <f t="shared" si="0"/>
        <v>14.7</v>
      </c>
      <c r="E208" s="4"/>
      <c r="F208" s="4"/>
      <c r="G208" s="4"/>
      <c r="H208" s="4"/>
    </row>
    <row r="209" ht="22.5" customHeight="1" spans="1:8">
      <c r="A209" s="3">
        <v>45968</v>
      </c>
      <c r="B209" s="4"/>
      <c r="C209" s="4">
        <v>0</v>
      </c>
      <c r="D209" s="4">
        <f t="shared" si="0"/>
        <v>14.7</v>
      </c>
      <c r="E209" s="4"/>
      <c r="F209" s="4"/>
      <c r="G209" s="4"/>
      <c r="H209" s="4"/>
    </row>
    <row r="210" ht="22.5" customHeight="1" spans="1:8">
      <c r="A210" s="3">
        <v>45969</v>
      </c>
      <c r="B210" s="4"/>
      <c r="C210" s="4">
        <v>0</v>
      </c>
      <c r="D210" s="4">
        <f t="shared" si="0"/>
        <v>14.7</v>
      </c>
      <c r="E210" s="4"/>
      <c r="F210" s="4"/>
      <c r="G210" s="4"/>
      <c r="H210" s="4"/>
    </row>
    <row r="211" ht="22.5" customHeight="1" spans="1:8">
      <c r="A211" s="3">
        <v>45970</v>
      </c>
      <c r="B211" s="4"/>
      <c r="C211" s="4">
        <v>0</v>
      </c>
      <c r="D211" s="4">
        <f t="shared" si="0"/>
        <v>14.7</v>
      </c>
      <c r="E211" s="4"/>
      <c r="F211" s="4"/>
      <c r="G211" s="4"/>
      <c r="H211" s="4"/>
    </row>
    <row r="212" ht="22.5" customHeight="1" spans="1:8">
      <c r="A212" s="3">
        <v>45971</v>
      </c>
      <c r="B212" s="4"/>
      <c r="C212" s="4">
        <v>0</v>
      </c>
      <c r="D212" s="4">
        <f t="shared" si="0"/>
        <v>14.7</v>
      </c>
      <c r="E212" s="4"/>
      <c r="F212" s="4"/>
      <c r="G212" s="4"/>
      <c r="H212" s="4"/>
    </row>
    <row r="213" ht="22.5" customHeight="1" spans="1:8">
      <c r="A213" s="3">
        <v>45972</v>
      </c>
      <c r="B213" s="4"/>
      <c r="C213" s="4">
        <v>0</v>
      </c>
      <c r="D213" s="4">
        <f t="shared" si="0"/>
        <v>14.7</v>
      </c>
      <c r="E213" s="4"/>
      <c r="F213" s="4"/>
      <c r="G213" s="4"/>
      <c r="H213" s="4"/>
    </row>
    <row r="214" ht="22.5" customHeight="1" spans="1:8">
      <c r="A214" s="3">
        <v>45973</v>
      </c>
      <c r="B214" s="4"/>
      <c r="C214" s="4">
        <v>0</v>
      </c>
      <c r="D214" s="4">
        <f t="shared" si="0"/>
        <v>14.7</v>
      </c>
      <c r="E214" s="4"/>
      <c r="F214" s="4"/>
      <c r="G214" s="4"/>
      <c r="H214" s="4"/>
    </row>
    <row r="215" ht="22.5" customHeight="1" spans="1:8">
      <c r="A215" s="3">
        <v>45974</v>
      </c>
      <c r="B215" s="4"/>
      <c r="C215" s="4">
        <v>0</v>
      </c>
      <c r="D215" s="4">
        <f t="shared" si="0"/>
        <v>14.7</v>
      </c>
      <c r="E215" s="4"/>
      <c r="F215" s="4"/>
      <c r="G215" s="4"/>
      <c r="H215" s="4"/>
    </row>
    <row r="216" ht="22.5" customHeight="1" spans="1:8">
      <c r="A216" s="3">
        <v>45975</v>
      </c>
      <c r="B216" s="4"/>
      <c r="C216" s="4">
        <v>0</v>
      </c>
      <c r="D216" s="4">
        <f t="shared" si="0"/>
        <v>14.7</v>
      </c>
      <c r="E216" s="4"/>
      <c r="F216" s="4"/>
      <c r="G216" s="4"/>
      <c r="H216" s="4"/>
    </row>
    <row r="217" ht="22.5" customHeight="1" spans="1:8">
      <c r="A217" s="3">
        <v>45976</v>
      </c>
      <c r="B217" s="4"/>
      <c r="C217" s="4">
        <v>0</v>
      </c>
      <c r="D217" s="4">
        <f t="shared" si="0"/>
        <v>14.7</v>
      </c>
      <c r="E217" s="4"/>
      <c r="F217" s="4"/>
      <c r="G217" s="4"/>
      <c r="H217" s="4"/>
    </row>
    <row r="218" ht="22.5" customHeight="1" spans="1:8">
      <c r="A218" s="3">
        <v>45977</v>
      </c>
      <c r="B218" s="4"/>
      <c r="C218" s="4">
        <v>0</v>
      </c>
      <c r="D218" s="4">
        <f t="shared" si="0"/>
        <v>14.7</v>
      </c>
      <c r="E218" s="4"/>
      <c r="F218" s="4"/>
      <c r="G218" s="4"/>
      <c r="H218" s="4"/>
    </row>
    <row r="219" ht="22.5" customHeight="1" spans="1:8">
      <c r="A219" s="3">
        <v>45978</v>
      </c>
      <c r="B219" s="4"/>
      <c r="C219" s="4">
        <v>0</v>
      </c>
      <c r="D219" s="4">
        <f t="shared" si="0"/>
        <v>14.7</v>
      </c>
      <c r="E219" s="4"/>
      <c r="F219" s="4"/>
      <c r="G219" s="4"/>
      <c r="H219" s="4"/>
    </row>
    <row r="220" ht="22.5" customHeight="1" spans="1:8">
      <c r="A220" s="3">
        <v>45979</v>
      </c>
      <c r="B220" s="4"/>
      <c r="C220" s="4">
        <v>0</v>
      </c>
      <c r="D220" s="4">
        <f t="shared" si="0"/>
        <v>14.7</v>
      </c>
      <c r="E220" s="4"/>
      <c r="F220" s="4"/>
      <c r="G220" s="4"/>
      <c r="H220" s="4"/>
    </row>
    <row r="221" ht="22.5" customHeight="1" spans="1:8">
      <c r="A221" s="3">
        <v>45980</v>
      </c>
      <c r="B221" s="4"/>
      <c r="C221" s="4">
        <v>0</v>
      </c>
      <c r="D221" s="4">
        <f t="shared" si="0"/>
        <v>14.7</v>
      </c>
      <c r="E221" s="4"/>
      <c r="F221" s="4"/>
      <c r="G221" s="4"/>
      <c r="H221" s="4"/>
    </row>
    <row r="222" ht="22.5" customHeight="1" spans="1:8">
      <c r="A222" s="3">
        <v>45981</v>
      </c>
      <c r="B222" s="4"/>
      <c r="C222" s="4">
        <v>0</v>
      </c>
      <c r="D222" s="4">
        <f t="shared" si="0"/>
        <v>14.7</v>
      </c>
      <c r="E222" s="4"/>
      <c r="F222" s="4"/>
      <c r="G222" s="4"/>
      <c r="H222" s="4"/>
    </row>
    <row r="223" ht="22.5" customHeight="1" spans="1:8">
      <c r="A223" s="3">
        <v>45982</v>
      </c>
      <c r="B223" s="4"/>
      <c r="C223" s="4">
        <v>0</v>
      </c>
      <c r="D223" s="4">
        <f t="shared" si="0"/>
        <v>14.7</v>
      </c>
      <c r="E223" s="4"/>
      <c r="F223" s="4"/>
      <c r="G223" s="4"/>
      <c r="H223" s="4"/>
    </row>
    <row r="224" ht="22.5" customHeight="1" spans="1:8">
      <c r="A224" s="3">
        <v>45983</v>
      </c>
      <c r="B224" s="4"/>
      <c r="C224" s="4">
        <v>0</v>
      </c>
      <c r="D224" s="4">
        <f t="shared" si="0"/>
        <v>14.7</v>
      </c>
      <c r="E224" s="4"/>
      <c r="F224" s="4"/>
      <c r="G224" s="4"/>
      <c r="H224" s="4"/>
    </row>
    <row r="225" ht="22.5" customHeight="1" spans="1:8">
      <c r="A225" s="3">
        <v>45984</v>
      </c>
      <c r="B225" s="4"/>
      <c r="C225" s="4">
        <v>0</v>
      </c>
      <c r="D225" s="4">
        <f t="shared" si="0"/>
        <v>14.7</v>
      </c>
      <c r="E225" s="4"/>
      <c r="F225" s="4"/>
      <c r="G225" s="4"/>
      <c r="H225" s="4"/>
    </row>
    <row r="226" ht="22.5" customHeight="1" spans="1:8">
      <c r="A226" s="3">
        <v>45985</v>
      </c>
      <c r="B226" s="4"/>
      <c r="C226" s="4">
        <v>0</v>
      </c>
      <c r="D226" s="4">
        <f t="shared" si="0"/>
        <v>14.7</v>
      </c>
      <c r="E226" s="4"/>
      <c r="F226" s="4"/>
      <c r="G226" s="4"/>
      <c r="H226" s="4"/>
    </row>
    <row r="227" ht="22.5" customHeight="1" spans="1:8">
      <c r="A227" s="3">
        <v>45986</v>
      </c>
      <c r="B227" s="4"/>
      <c r="C227" s="4">
        <v>0</v>
      </c>
      <c r="D227" s="4">
        <f t="shared" si="0"/>
        <v>14.7</v>
      </c>
      <c r="E227" s="4"/>
      <c r="F227" s="4"/>
      <c r="G227" s="4"/>
      <c r="H227" s="4"/>
    </row>
    <row r="228" ht="22.5" customHeight="1" spans="1:8">
      <c r="A228" s="3">
        <v>45987</v>
      </c>
      <c r="B228" s="4"/>
      <c r="C228" s="4">
        <v>0</v>
      </c>
      <c r="D228" s="4">
        <f t="shared" si="0"/>
        <v>14.7</v>
      </c>
      <c r="E228" s="4"/>
      <c r="F228" s="4"/>
      <c r="G228" s="4"/>
      <c r="H228" s="4"/>
    </row>
    <row r="229" ht="22.5" customHeight="1" spans="1:8">
      <c r="A229" s="3">
        <v>45988</v>
      </c>
      <c r="B229" s="4"/>
      <c r="C229" s="4">
        <v>0</v>
      </c>
      <c r="D229" s="4">
        <f t="shared" si="0"/>
        <v>14.7</v>
      </c>
      <c r="E229" s="4"/>
      <c r="F229" s="4"/>
      <c r="G229" s="4"/>
      <c r="H229" s="4"/>
    </row>
    <row r="230" ht="22.5" customHeight="1" spans="1:8">
      <c r="A230" s="3">
        <v>45989</v>
      </c>
      <c r="B230" s="4"/>
      <c r="C230" s="4">
        <v>0</v>
      </c>
      <c r="D230" s="4">
        <f t="shared" si="0"/>
        <v>14.7</v>
      </c>
      <c r="E230" s="4"/>
      <c r="F230" s="4"/>
      <c r="G230" s="4"/>
      <c r="H230" s="4"/>
    </row>
    <row r="231" ht="22.5" customHeight="1" spans="1:8">
      <c r="A231" s="3">
        <v>45990</v>
      </c>
      <c r="B231" s="4"/>
      <c r="C231" s="4">
        <v>0</v>
      </c>
      <c r="D231" s="4">
        <f t="shared" si="0"/>
        <v>14.7</v>
      </c>
      <c r="E231" s="4"/>
      <c r="F231" s="4"/>
      <c r="G231" s="4"/>
      <c r="H231" s="4"/>
    </row>
    <row r="232" ht="22.5" customHeight="1" spans="1:8">
      <c r="A232" s="3">
        <v>45991</v>
      </c>
      <c r="B232" s="4"/>
      <c r="C232" s="4">
        <v>0</v>
      </c>
      <c r="D232" s="4">
        <f t="shared" si="0"/>
        <v>14.7</v>
      </c>
      <c r="E232" s="4"/>
      <c r="F232" s="4"/>
      <c r="G232" s="4"/>
      <c r="H232" s="4"/>
    </row>
    <row r="233" ht="22.5" customHeight="1" spans="1:8">
      <c r="A233" s="3">
        <v>45992</v>
      </c>
      <c r="B233" s="4"/>
      <c r="C233" s="4">
        <v>0</v>
      </c>
      <c r="D233" s="4">
        <f t="shared" si="0"/>
        <v>14.7</v>
      </c>
      <c r="E233" s="4"/>
      <c r="F233" s="4"/>
      <c r="G233" s="4"/>
      <c r="H233" s="4"/>
    </row>
    <row r="234" ht="22.5" customHeight="1" spans="1:8">
      <c r="A234" s="3">
        <v>45993</v>
      </c>
      <c r="B234" s="4"/>
      <c r="C234" s="4">
        <v>0</v>
      </c>
      <c r="D234" s="4">
        <f t="shared" si="0"/>
        <v>14.7</v>
      </c>
      <c r="E234" s="4"/>
      <c r="F234" s="4"/>
      <c r="G234" s="4"/>
      <c r="H234" s="4"/>
    </row>
    <row r="235" ht="22.5" customHeight="1" spans="1:8">
      <c r="A235" s="3">
        <v>45994</v>
      </c>
      <c r="B235" s="4"/>
      <c r="C235" s="4">
        <v>0</v>
      </c>
      <c r="D235" s="4">
        <f t="shared" si="0"/>
        <v>14.7</v>
      </c>
      <c r="E235" s="4"/>
      <c r="F235" s="4"/>
      <c r="G235" s="4"/>
      <c r="H235" s="4"/>
    </row>
    <row r="236" ht="22.5" customHeight="1" spans="1:8">
      <c r="A236" s="3">
        <v>45995</v>
      </c>
      <c r="B236" s="4"/>
      <c r="C236" s="4">
        <v>0</v>
      </c>
      <c r="D236" s="4">
        <f t="shared" si="0"/>
        <v>14.7</v>
      </c>
      <c r="E236" s="4"/>
      <c r="F236" s="4"/>
      <c r="G236" s="4"/>
      <c r="H236" s="4"/>
    </row>
    <row r="237" ht="22.5" customHeight="1" spans="1:8">
      <c r="A237" s="3">
        <v>45996</v>
      </c>
      <c r="B237" s="4"/>
      <c r="C237" s="4">
        <v>0</v>
      </c>
      <c r="D237" s="4">
        <f t="shared" si="0"/>
        <v>14.7</v>
      </c>
      <c r="E237" s="4"/>
      <c r="F237" s="4"/>
      <c r="G237" s="4"/>
      <c r="H237" s="4"/>
    </row>
    <row r="238" ht="22.5" customHeight="1" spans="1:8">
      <c r="A238" s="3">
        <v>45997</v>
      </c>
      <c r="B238" s="4"/>
      <c r="C238" s="4">
        <v>0</v>
      </c>
      <c r="D238" s="4">
        <f t="shared" si="0"/>
        <v>14.7</v>
      </c>
      <c r="E238" s="4"/>
      <c r="F238" s="4"/>
      <c r="G238" s="4"/>
      <c r="H238" s="4"/>
    </row>
    <row r="239" ht="22.5" customHeight="1" spans="1:8">
      <c r="A239" s="3">
        <v>45998</v>
      </c>
      <c r="B239" s="4"/>
      <c r="C239" s="4">
        <v>0</v>
      </c>
      <c r="D239" s="4">
        <f t="shared" si="0"/>
        <v>14.7</v>
      </c>
      <c r="E239" s="4"/>
      <c r="F239" s="4"/>
      <c r="G239" s="4"/>
      <c r="H239" s="4"/>
    </row>
    <row r="240" ht="22.5" customHeight="1" spans="1:8">
      <c r="A240" s="3">
        <v>45999</v>
      </c>
      <c r="B240" s="4"/>
      <c r="C240" s="4">
        <v>0</v>
      </c>
      <c r="D240" s="4">
        <f t="shared" si="0"/>
        <v>14.7</v>
      </c>
      <c r="E240" s="4"/>
      <c r="F240" s="4"/>
      <c r="G240" s="4"/>
      <c r="H240" s="4"/>
    </row>
    <row r="241" ht="22.5" customHeight="1" spans="1:8">
      <c r="A241" s="3">
        <v>46000</v>
      </c>
      <c r="B241" s="4"/>
      <c r="C241" s="4">
        <v>0</v>
      </c>
      <c r="D241" s="4">
        <f t="shared" si="0"/>
        <v>14.7</v>
      </c>
      <c r="E241" s="4"/>
      <c r="F241" s="4"/>
      <c r="G241" s="4"/>
      <c r="H241" s="4"/>
    </row>
    <row r="242" ht="22.5" customHeight="1" spans="1:8">
      <c r="A242" s="3">
        <v>46001</v>
      </c>
      <c r="B242" s="4"/>
      <c r="C242" s="4">
        <v>0</v>
      </c>
      <c r="D242" s="4">
        <f t="shared" si="0"/>
        <v>14.7</v>
      </c>
      <c r="E242" s="4"/>
      <c r="F242" s="4"/>
      <c r="G242" s="4"/>
      <c r="H242" s="4"/>
    </row>
    <row r="243" ht="22.5" customHeight="1" spans="1:8">
      <c r="A243" s="3">
        <v>46002</v>
      </c>
      <c r="B243" s="4"/>
      <c r="C243" s="4">
        <v>0</v>
      </c>
      <c r="D243" s="4">
        <f t="shared" si="0"/>
        <v>14.7</v>
      </c>
      <c r="E243" s="4"/>
      <c r="F243" s="4"/>
      <c r="G243" s="4"/>
      <c r="H243" s="4"/>
    </row>
    <row r="244" ht="22.5" customHeight="1" spans="1:8">
      <c r="A244" s="3">
        <v>46003</v>
      </c>
      <c r="B244" s="4"/>
      <c r="C244" s="4">
        <v>0</v>
      </c>
      <c r="D244" s="4">
        <f t="shared" si="0"/>
        <v>14.7</v>
      </c>
      <c r="E244" s="4"/>
      <c r="F244" s="4"/>
      <c r="G244" s="4"/>
      <c r="H244" s="4"/>
    </row>
    <row r="245" ht="22.5" customHeight="1" spans="1:8">
      <c r="A245" s="3">
        <v>46004</v>
      </c>
      <c r="B245" s="4"/>
      <c r="C245" s="4">
        <v>0</v>
      </c>
      <c r="D245" s="4">
        <f t="shared" si="0"/>
        <v>14.7</v>
      </c>
      <c r="E245" s="4"/>
      <c r="F245" s="4"/>
      <c r="G245" s="4"/>
      <c r="H245" s="4"/>
    </row>
    <row r="246" ht="22.5" customHeight="1" spans="1:8">
      <c r="A246" s="3">
        <v>46005</v>
      </c>
      <c r="B246" s="4"/>
      <c r="C246" s="4">
        <v>0</v>
      </c>
      <c r="D246" s="4">
        <f t="shared" si="0"/>
        <v>14.7</v>
      </c>
      <c r="E246" s="4"/>
      <c r="F246" s="4"/>
      <c r="G246" s="4"/>
      <c r="H246" s="4"/>
    </row>
    <row r="247" ht="22.5" customHeight="1" spans="1:8">
      <c r="A247" s="3">
        <v>46006</v>
      </c>
      <c r="B247" s="4"/>
      <c r="C247" s="4">
        <v>0</v>
      </c>
      <c r="D247" s="4">
        <f t="shared" si="0"/>
        <v>14.7</v>
      </c>
      <c r="E247" s="4"/>
      <c r="F247" s="4"/>
      <c r="G247" s="4"/>
      <c r="H247" s="4"/>
    </row>
    <row r="248" ht="22.5" customHeight="1" spans="1:8">
      <c r="A248" s="3">
        <v>46007</v>
      </c>
      <c r="B248" s="4"/>
      <c r="C248" s="4">
        <v>0</v>
      </c>
      <c r="D248" s="4">
        <f t="shared" si="0"/>
        <v>14.7</v>
      </c>
      <c r="E248" s="4"/>
      <c r="F248" s="4"/>
      <c r="G248" s="4"/>
      <c r="H248" s="4"/>
    </row>
    <row r="249" ht="22.5" customHeight="1" spans="1:8">
      <c r="A249" s="3">
        <v>46008</v>
      </c>
      <c r="B249" s="4"/>
      <c r="C249" s="4">
        <v>0</v>
      </c>
      <c r="D249" s="4">
        <f t="shared" si="0"/>
        <v>14.7</v>
      </c>
      <c r="E249" s="4"/>
      <c r="F249" s="4"/>
      <c r="G249" s="4"/>
      <c r="H249" s="4"/>
    </row>
    <row r="250" ht="22.5" customHeight="1" spans="1:8">
      <c r="A250" s="3">
        <v>46009</v>
      </c>
      <c r="B250" s="4"/>
      <c r="C250" s="4">
        <v>0</v>
      </c>
      <c r="D250" s="4">
        <f t="shared" si="0"/>
        <v>14.7</v>
      </c>
      <c r="E250" s="4"/>
      <c r="F250" s="4"/>
      <c r="G250" s="4"/>
      <c r="H250" s="4"/>
    </row>
    <row r="251" ht="22.5" customHeight="1" spans="1:8">
      <c r="A251" s="3">
        <v>46010</v>
      </c>
      <c r="B251" s="4"/>
      <c r="C251" s="4">
        <v>0</v>
      </c>
      <c r="D251" s="4">
        <f t="shared" si="0"/>
        <v>14.7</v>
      </c>
      <c r="E251" s="4"/>
      <c r="F251" s="4"/>
      <c r="G251" s="4"/>
      <c r="H251" s="4"/>
    </row>
    <row r="252" ht="22.5" customHeight="1" spans="1:8">
      <c r="A252" s="3">
        <v>46011</v>
      </c>
      <c r="B252" s="4"/>
      <c r="C252" s="4">
        <v>0</v>
      </c>
      <c r="D252" s="4">
        <f t="shared" si="0"/>
        <v>14.7</v>
      </c>
      <c r="E252" s="4"/>
      <c r="F252" s="4"/>
      <c r="G252" s="4"/>
      <c r="H252" s="4"/>
    </row>
    <row r="253" ht="22.5" customHeight="1" spans="1:8">
      <c r="A253" s="3">
        <v>46012</v>
      </c>
      <c r="B253" s="4"/>
      <c r="C253" s="4">
        <v>0</v>
      </c>
      <c r="D253" s="4">
        <f t="shared" si="0"/>
        <v>14.7</v>
      </c>
      <c r="E253" s="4"/>
      <c r="F253" s="4"/>
      <c r="G253" s="4"/>
      <c r="H253" s="4"/>
    </row>
    <row r="254" ht="22.5" customHeight="1" spans="1:8">
      <c r="A254" s="3">
        <v>46013</v>
      </c>
      <c r="B254" s="4"/>
      <c r="C254" s="4">
        <v>0</v>
      </c>
      <c r="D254" s="4">
        <f t="shared" si="0"/>
        <v>14.7</v>
      </c>
      <c r="E254" s="4"/>
      <c r="F254" s="4"/>
      <c r="G254" s="4"/>
      <c r="H254" s="4"/>
    </row>
    <row r="255" ht="22.5" customHeight="1" spans="1:8">
      <c r="A255" s="3">
        <v>46014</v>
      </c>
      <c r="B255" s="4"/>
      <c r="C255" s="4">
        <v>0</v>
      </c>
      <c r="D255" s="4">
        <f t="shared" si="0"/>
        <v>14.7</v>
      </c>
      <c r="E255" s="4"/>
      <c r="F255" s="4"/>
      <c r="G255" s="4"/>
      <c r="H255" s="4"/>
    </row>
    <row r="256" ht="22.5" customHeight="1" spans="1:8">
      <c r="A256" s="3">
        <v>46015</v>
      </c>
      <c r="B256" s="4"/>
      <c r="C256" s="4">
        <v>0</v>
      </c>
      <c r="D256" s="4">
        <f t="shared" si="0"/>
        <v>14.7</v>
      </c>
      <c r="E256" s="4"/>
      <c r="F256" s="4"/>
      <c r="G256" s="4"/>
      <c r="H256" s="4"/>
    </row>
    <row r="257" ht="22.5" customHeight="1" spans="1:8">
      <c r="A257" s="3">
        <v>46016</v>
      </c>
      <c r="B257" s="4"/>
      <c r="C257" s="4">
        <v>0</v>
      </c>
      <c r="D257" s="4">
        <f t="shared" si="0"/>
        <v>14.7</v>
      </c>
      <c r="E257" s="4"/>
      <c r="F257" s="4"/>
      <c r="G257" s="4"/>
      <c r="H257" s="4"/>
    </row>
    <row r="258" ht="22.5" customHeight="1" spans="1:8">
      <c r="A258" s="3">
        <v>46017</v>
      </c>
      <c r="B258" s="4"/>
      <c r="C258" s="4">
        <v>0</v>
      </c>
      <c r="D258" s="4">
        <f t="shared" ref="D258:D320" si="1">B258-C258+D257</f>
        <v>14.7</v>
      </c>
      <c r="E258" s="4"/>
      <c r="F258" s="4"/>
      <c r="G258" s="4"/>
      <c r="H258" s="4"/>
    </row>
    <row r="259" ht="22.5" customHeight="1" spans="1:8">
      <c r="A259" s="3">
        <v>46018</v>
      </c>
      <c r="B259" s="4"/>
      <c r="C259" s="4">
        <v>0</v>
      </c>
      <c r="D259" s="4">
        <f t="shared" si="1"/>
        <v>14.7</v>
      </c>
      <c r="E259" s="4"/>
      <c r="F259" s="4"/>
      <c r="G259" s="4"/>
      <c r="H259" s="4"/>
    </row>
    <row r="260" ht="22.5" customHeight="1" spans="1:8">
      <c r="A260" s="3">
        <v>46019</v>
      </c>
      <c r="B260" s="4"/>
      <c r="C260" s="4">
        <v>0</v>
      </c>
      <c r="D260" s="4">
        <f t="shared" si="1"/>
        <v>14.7</v>
      </c>
      <c r="E260" s="4"/>
      <c r="F260" s="4"/>
      <c r="G260" s="4"/>
      <c r="H260" s="4"/>
    </row>
    <row r="261" ht="22.5" customHeight="1" spans="1:8">
      <c r="A261" s="3">
        <v>46020</v>
      </c>
      <c r="B261" s="4"/>
      <c r="C261" s="4">
        <v>0</v>
      </c>
      <c r="D261" s="4">
        <f t="shared" si="1"/>
        <v>14.7</v>
      </c>
      <c r="E261" s="4"/>
      <c r="F261" s="4"/>
      <c r="G261" s="4"/>
      <c r="H261" s="4"/>
    </row>
    <row r="262" ht="22.5" customHeight="1" spans="1:8">
      <c r="A262" s="3">
        <v>46021</v>
      </c>
      <c r="B262" s="4"/>
      <c r="C262" s="4">
        <v>0</v>
      </c>
      <c r="D262" s="4">
        <f t="shared" si="1"/>
        <v>14.7</v>
      </c>
      <c r="E262" s="4"/>
      <c r="F262" s="4"/>
      <c r="G262" s="4"/>
      <c r="H262" s="4"/>
    </row>
    <row r="263" ht="22.5" customHeight="1" spans="1:8">
      <c r="A263" s="3">
        <v>46022</v>
      </c>
      <c r="B263" s="4"/>
      <c r="C263" s="4">
        <v>0</v>
      </c>
      <c r="D263" s="4">
        <f t="shared" si="1"/>
        <v>14.7</v>
      </c>
      <c r="E263" s="4"/>
      <c r="F263" s="4"/>
      <c r="G263" s="4"/>
      <c r="H263" s="4"/>
    </row>
    <row r="264" ht="22.5" customHeight="1" spans="1:8">
      <c r="A264" s="3">
        <v>46023</v>
      </c>
      <c r="B264" s="4"/>
      <c r="C264" s="4">
        <v>0</v>
      </c>
      <c r="D264" s="4">
        <f t="shared" si="1"/>
        <v>14.7</v>
      </c>
      <c r="E264" s="4"/>
      <c r="F264" s="4"/>
      <c r="G264" s="4"/>
      <c r="H264" s="4"/>
    </row>
    <row r="265" ht="22.5" customHeight="1" spans="1:8">
      <c r="A265" s="3">
        <v>46024</v>
      </c>
      <c r="B265" s="4"/>
      <c r="C265" s="4">
        <v>0</v>
      </c>
      <c r="D265" s="4">
        <f t="shared" si="1"/>
        <v>14.7</v>
      </c>
      <c r="E265" s="4"/>
      <c r="F265" s="4"/>
      <c r="G265" s="4"/>
      <c r="H265" s="4"/>
    </row>
    <row r="266" ht="22.5" customHeight="1" spans="1:8">
      <c r="A266" s="3">
        <v>46025</v>
      </c>
      <c r="B266" s="4"/>
      <c r="C266" s="4">
        <v>0</v>
      </c>
      <c r="D266" s="4">
        <f t="shared" si="1"/>
        <v>14.7</v>
      </c>
      <c r="E266" s="4"/>
      <c r="F266" s="4"/>
      <c r="G266" s="4"/>
      <c r="H266" s="4"/>
    </row>
    <row r="267" ht="22.5" customHeight="1" spans="1:8">
      <c r="A267" s="3">
        <v>46026</v>
      </c>
      <c r="B267" s="4"/>
      <c r="C267" s="4">
        <v>0</v>
      </c>
      <c r="D267" s="4">
        <f t="shared" si="1"/>
        <v>14.7</v>
      </c>
      <c r="E267" s="4"/>
      <c r="F267" s="4"/>
      <c r="G267" s="4"/>
      <c r="H267" s="4"/>
    </row>
    <row r="268" ht="22.5" customHeight="1" spans="1:8">
      <c r="A268" s="3">
        <v>46027</v>
      </c>
      <c r="B268" s="4"/>
      <c r="C268" s="4">
        <v>0</v>
      </c>
      <c r="D268" s="4">
        <f t="shared" si="1"/>
        <v>14.7</v>
      </c>
      <c r="E268" s="4"/>
      <c r="F268" s="4"/>
      <c r="G268" s="4"/>
      <c r="H268" s="4"/>
    </row>
    <row r="269" ht="22.5" customHeight="1" spans="1:8">
      <c r="A269" s="3">
        <v>46028</v>
      </c>
      <c r="B269" s="4"/>
      <c r="C269" s="4">
        <v>0</v>
      </c>
      <c r="D269" s="4">
        <f t="shared" si="1"/>
        <v>14.7</v>
      </c>
      <c r="E269" s="4"/>
      <c r="F269" s="4"/>
      <c r="G269" s="4"/>
      <c r="H269" s="4"/>
    </row>
    <row r="270" ht="22.5" customHeight="1" spans="1:8">
      <c r="A270" s="3">
        <v>46029</v>
      </c>
      <c r="B270" s="4"/>
      <c r="C270" s="4">
        <v>0</v>
      </c>
      <c r="D270" s="4">
        <f t="shared" si="1"/>
        <v>14.7</v>
      </c>
      <c r="E270" s="4"/>
      <c r="F270" s="4"/>
      <c r="G270" s="4"/>
      <c r="H270" s="4"/>
    </row>
    <row r="271" ht="22.5" customHeight="1" spans="1:8">
      <c r="A271" s="3">
        <v>46030</v>
      </c>
      <c r="B271" s="4"/>
      <c r="C271" s="4">
        <v>0</v>
      </c>
      <c r="D271" s="4">
        <f t="shared" si="1"/>
        <v>14.7</v>
      </c>
      <c r="E271" s="4"/>
      <c r="F271" s="4"/>
      <c r="G271" s="4"/>
      <c r="H271" s="4"/>
    </row>
    <row r="272" ht="22.5" customHeight="1" spans="1:8">
      <c r="A272" s="3">
        <v>46031</v>
      </c>
      <c r="B272" s="4"/>
      <c r="C272" s="4">
        <v>0</v>
      </c>
      <c r="D272" s="4">
        <f t="shared" si="1"/>
        <v>14.7</v>
      </c>
      <c r="E272" s="4"/>
      <c r="F272" s="4"/>
      <c r="G272" s="4"/>
      <c r="H272" s="4"/>
    </row>
    <row r="273" ht="22.5" customHeight="1" spans="1:8">
      <c r="A273" s="3">
        <v>46032</v>
      </c>
      <c r="B273" s="4"/>
      <c r="C273" s="4">
        <v>0</v>
      </c>
      <c r="D273" s="4">
        <f t="shared" si="1"/>
        <v>14.7</v>
      </c>
      <c r="E273" s="4"/>
      <c r="F273" s="4"/>
      <c r="G273" s="4"/>
      <c r="H273" s="4"/>
    </row>
    <row r="274" ht="22.5" customHeight="1" spans="1:8">
      <c r="A274" s="3">
        <v>46033</v>
      </c>
      <c r="B274" s="4"/>
      <c r="C274" s="4">
        <v>0</v>
      </c>
      <c r="D274" s="4">
        <f t="shared" si="1"/>
        <v>14.7</v>
      </c>
      <c r="E274" s="4"/>
      <c r="F274" s="4"/>
      <c r="G274" s="4"/>
      <c r="H274" s="4"/>
    </row>
    <row r="275" ht="22.5" customHeight="1" spans="1:8">
      <c r="A275" s="3">
        <v>46034</v>
      </c>
      <c r="B275" s="4"/>
      <c r="C275" s="4">
        <v>0</v>
      </c>
      <c r="D275" s="4">
        <f t="shared" si="1"/>
        <v>14.7</v>
      </c>
      <c r="E275" s="4"/>
      <c r="F275" s="4"/>
      <c r="G275" s="4"/>
      <c r="H275" s="4"/>
    </row>
    <row r="276" ht="22.5" customHeight="1" spans="1:8">
      <c r="A276" s="3">
        <v>46035</v>
      </c>
      <c r="B276" s="4"/>
      <c r="C276" s="4">
        <v>0</v>
      </c>
      <c r="D276" s="4">
        <f t="shared" si="1"/>
        <v>14.7</v>
      </c>
      <c r="E276" s="4"/>
      <c r="F276" s="4"/>
      <c r="G276" s="4"/>
      <c r="H276" s="4"/>
    </row>
    <row r="277" ht="22.5" customHeight="1" spans="1:8">
      <c r="A277" s="3">
        <v>46036</v>
      </c>
      <c r="B277" s="4"/>
      <c r="C277" s="4">
        <v>0</v>
      </c>
      <c r="D277" s="4">
        <f t="shared" si="1"/>
        <v>14.7</v>
      </c>
      <c r="E277" s="4"/>
      <c r="F277" s="4"/>
      <c r="G277" s="4"/>
      <c r="H277" s="4"/>
    </row>
    <row r="278" ht="22.5" customHeight="1" spans="1:8">
      <c r="A278" s="3">
        <v>46037</v>
      </c>
      <c r="B278" s="4"/>
      <c r="C278" s="4">
        <v>0</v>
      </c>
      <c r="D278" s="4">
        <f t="shared" si="1"/>
        <v>14.7</v>
      </c>
      <c r="E278" s="4"/>
      <c r="F278" s="4"/>
      <c r="G278" s="4"/>
      <c r="H278" s="4"/>
    </row>
    <row r="279" ht="22.5" customHeight="1" spans="1:8">
      <c r="A279" s="3">
        <v>46038</v>
      </c>
      <c r="B279" s="4"/>
      <c r="C279" s="4">
        <v>0</v>
      </c>
      <c r="D279" s="4">
        <f t="shared" si="1"/>
        <v>14.7</v>
      </c>
      <c r="E279" s="4"/>
      <c r="F279" s="4"/>
      <c r="G279" s="4"/>
      <c r="H279" s="4"/>
    </row>
    <row r="280" ht="22.5" customHeight="1" spans="1:8">
      <c r="A280" s="3">
        <v>46039</v>
      </c>
      <c r="B280" s="4"/>
      <c r="C280" s="4">
        <v>0</v>
      </c>
      <c r="D280" s="4">
        <f t="shared" si="1"/>
        <v>14.7</v>
      </c>
      <c r="E280" s="4"/>
      <c r="F280" s="4"/>
      <c r="G280" s="4"/>
      <c r="H280" s="4"/>
    </row>
    <row r="281" ht="22.5" customHeight="1" spans="1:8">
      <c r="A281" s="3">
        <v>46040</v>
      </c>
      <c r="B281" s="4"/>
      <c r="C281" s="4">
        <v>0</v>
      </c>
      <c r="D281" s="4">
        <f t="shared" si="1"/>
        <v>14.7</v>
      </c>
      <c r="E281" s="4"/>
      <c r="F281" s="4"/>
      <c r="G281" s="4"/>
      <c r="H281" s="4"/>
    </row>
    <row r="282" ht="22.5" customHeight="1" spans="1:8">
      <c r="A282" s="3">
        <v>46041</v>
      </c>
      <c r="B282" s="4"/>
      <c r="C282" s="4">
        <v>0</v>
      </c>
      <c r="D282" s="4">
        <f t="shared" si="1"/>
        <v>14.7</v>
      </c>
      <c r="E282" s="4"/>
      <c r="F282" s="4"/>
      <c r="G282" s="4"/>
      <c r="H282" s="4"/>
    </row>
    <row r="283" ht="22.5" customHeight="1" spans="1:8">
      <c r="A283" s="3">
        <v>46042</v>
      </c>
      <c r="B283" s="4"/>
      <c r="C283" s="4">
        <v>0</v>
      </c>
      <c r="D283" s="4">
        <f t="shared" si="1"/>
        <v>14.7</v>
      </c>
      <c r="E283" s="4"/>
      <c r="F283" s="4"/>
      <c r="G283" s="4"/>
      <c r="H283" s="4"/>
    </row>
    <row r="284" ht="22.5" customHeight="1" spans="1:8">
      <c r="A284" s="3">
        <v>46043</v>
      </c>
      <c r="B284" s="4"/>
      <c r="C284" s="4">
        <v>0</v>
      </c>
      <c r="D284" s="4">
        <f t="shared" si="1"/>
        <v>14.7</v>
      </c>
      <c r="E284" s="4"/>
      <c r="F284" s="4"/>
      <c r="G284" s="4"/>
      <c r="H284" s="4"/>
    </row>
    <row r="285" ht="22.5" customHeight="1" spans="1:8">
      <c r="A285" s="3">
        <v>46044</v>
      </c>
      <c r="B285" s="4"/>
      <c r="C285" s="4">
        <v>0</v>
      </c>
      <c r="D285" s="4">
        <f t="shared" si="1"/>
        <v>14.7</v>
      </c>
      <c r="E285" s="4"/>
      <c r="F285" s="4"/>
      <c r="G285" s="4"/>
      <c r="H285" s="4"/>
    </row>
    <row r="286" ht="22.5" customHeight="1" spans="1:8">
      <c r="A286" s="3">
        <v>46045</v>
      </c>
      <c r="B286" s="4"/>
      <c r="C286" s="4">
        <v>0</v>
      </c>
      <c r="D286" s="4">
        <f t="shared" si="1"/>
        <v>14.7</v>
      </c>
      <c r="E286" s="4"/>
      <c r="F286" s="4"/>
      <c r="G286" s="4"/>
      <c r="H286" s="4"/>
    </row>
    <row r="287" ht="22.5" customHeight="1" spans="1:8">
      <c r="A287" s="3">
        <v>46046</v>
      </c>
      <c r="B287" s="4"/>
      <c r="C287" s="4">
        <v>0</v>
      </c>
      <c r="D287" s="4">
        <f t="shared" si="1"/>
        <v>14.7</v>
      </c>
      <c r="E287" s="4"/>
      <c r="F287" s="4"/>
      <c r="G287" s="4"/>
      <c r="H287" s="4"/>
    </row>
    <row r="288" ht="22.5" customHeight="1" spans="1:8">
      <c r="A288" s="3">
        <v>46047</v>
      </c>
      <c r="B288" s="4"/>
      <c r="C288" s="4">
        <v>0</v>
      </c>
      <c r="D288" s="4">
        <f t="shared" si="1"/>
        <v>14.7</v>
      </c>
      <c r="E288" s="4"/>
      <c r="F288" s="4"/>
      <c r="G288" s="4"/>
      <c r="H288" s="4"/>
    </row>
    <row r="289" ht="22.5" customHeight="1" spans="1:8">
      <c r="A289" s="3">
        <v>46048</v>
      </c>
      <c r="B289" s="4"/>
      <c r="C289" s="4">
        <v>0</v>
      </c>
      <c r="D289" s="4">
        <f t="shared" si="1"/>
        <v>14.7</v>
      </c>
      <c r="E289" s="4"/>
      <c r="F289" s="4"/>
      <c r="G289" s="4"/>
      <c r="H289" s="4"/>
    </row>
    <row r="290" ht="22.5" customHeight="1" spans="1:8">
      <c r="A290" s="3">
        <v>46049</v>
      </c>
      <c r="B290" s="4"/>
      <c r="C290" s="4">
        <v>0</v>
      </c>
      <c r="D290" s="4">
        <f t="shared" si="1"/>
        <v>14.7</v>
      </c>
      <c r="E290" s="4"/>
      <c r="F290" s="4"/>
      <c r="G290" s="4"/>
      <c r="H290" s="4"/>
    </row>
    <row r="291" ht="22.5" customHeight="1" spans="1:8">
      <c r="A291" s="3">
        <v>46050</v>
      </c>
      <c r="B291" s="4"/>
      <c r="C291" s="4">
        <v>0</v>
      </c>
      <c r="D291" s="4">
        <f t="shared" si="1"/>
        <v>14.7</v>
      </c>
      <c r="E291" s="4"/>
      <c r="F291" s="4"/>
      <c r="G291" s="4"/>
      <c r="H291" s="4"/>
    </row>
    <row r="292" ht="22.5" customHeight="1" spans="1:8">
      <c r="A292" s="3">
        <v>46051</v>
      </c>
      <c r="B292" s="4"/>
      <c r="C292" s="4">
        <v>0</v>
      </c>
      <c r="D292" s="4">
        <f t="shared" si="1"/>
        <v>14.7</v>
      </c>
      <c r="E292" s="4"/>
      <c r="F292" s="4"/>
      <c r="G292" s="4"/>
      <c r="H292" s="4"/>
    </row>
    <row r="293" ht="22.5" customHeight="1" spans="1:8">
      <c r="A293" s="3">
        <v>46052</v>
      </c>
      <c r="B293" s="4"/>
      <c r="C293" s="4">
        <v>0</v>
      </c>
      <c r="D293" s="4">
        <f t="shared" si="1"/>
        <v>14.7</v>
      </c>
      <c r="E293" s="4"/>
      <c r="F293" s="4"/>
      <c r="G293" s="4"/>
      <c r="H293" s="4"/>
    </row>
    <row r="294" ht="22.5" customHeight="1" spans="1:8">
      <c r="A294" s="3">
        <v>46053</v>
      </c>
      <c r="B294" s="4"/>
      <c r="C294" s="4">
        <v>0</v>
      </c>
      <c r="D294" s="4">
        <f t="shared" si="1"/>
        <v>14.7</v>
      </c>
      <c r="E294" s="4"/>
      <c r="F294" s="4"/>
      <c r="G294" s="4"/>
      <c r="H294" s="4"/>
    </row>
    <row r="295" ht="22.5" customHeight="1" spans="1:8">
      <c r="A295" s="3">
        <v>46054</v>
      </c>
      <c r="B295" s="4"/>
      <c r="C295" s="4">
        <v>0</v>
      </c>
      <c r="D295" s="4">
        <f t="shared" si="1"/>
        <v>14.7</v>
      </c>
      <c r="E295" s="4"/>
      <c r="F295" s="4"/>
      <c r="G295" s="4"/>
      <c r="H295" s="4"/>
    </row>
    <row r="296" ht="22.5" customHeight="1" spans="1:8">
      <c r="A296" s="3">
        <v>46055</v>
      </c>
      <c r="B296" s="4"/>
      <c r="C296" s="4">
        <v>0</v>
      </c>
      <c r="D296" s="4">
        <f t="shared" si="1"/>
        <v>14.7</v>
      </c>
      <c r="E296" s="4"/>
      <c r="F296" s="4"/>
      <c r="G296" s="4"/>
      <c r="H296" s="4"/>
    </row>
    <row r="297" ht="22.5" customHeight="1" spans="1:8">
      <c r="A297" s="3">
        <v>46056</v>
      </c>
      <c r="B297" s="4"/>
      <c r="C297" s="4">
        <v>0</v>
      </c>
      <c r="D297" s="4">
        <f t="shared" si="1"/>
        <v>14.7</v>
      </c>
      <c r="E297" s="4"/>
      <c r="F297" s="4"/>
      <c r="G297" s="4"/>
      <c r="H297" s="4"/>
    </row>
    <row r="298" ht="22.5" customHeight="1" spans="1:8">
      <c r="A298" s="3">
        <v>46057</v>
      </c>
      <c r="B298" s="4">
        <v>0.5</v>
      </c>
      <c r="C298" s="4">
        <v>0</v>
      </c>
      <c r="D298" s="4">
        <f t="shared" si="1"/>
        <v>15.2</v>
      </c>
      <c r="E298" s="4"/>
      <c r="F298" s="4"/>
      <c r="G298" s="4"/>
      <c r="H298" s="4"/>
    </row>
    <row r="299" ht="22.5" customHeight="1" spans="1:8">
      <c r="A299" s="3">
        <v>46058</v>
      </c>
      <c r="B299" s="4"/>
      <c r="C299" s="4">
        <v>0</v>
      </c>
      <c r="D299" s="4">
        <f t="shared" si="1"/>
        <v>15.2</v>
      </c>
      <c r="E299" s="4"/>
      <c r="F299" s="4"/>
      <c r="G299" s="4"/>
      <c r="H299" s="4"/>
    </row>
    <row r="300" ht="22.5" customHeight="1" spans="1:8">
      <c r="A300" s="3">
        <v>46059</v>
      </c>
      <c r="B300" s="4"/>
      <c r="C300" s="4">
        <v>0</v>
      </c>
      <c r="D300" s="4">
        <f t="shared" si="1"/>
        <v>15.2</v>
      </c>
      <c r="E300" s="4"/>
      <c r="F300" s="4"/>
      <c r="G300" s="4"/>
      <c r="H300" s="4"/>
    </row>
    <row r="301" ht="22.5" customHeight="1" spans="1:8">
      <c r="A301" s="3">
        <v>46060</v>
      </c>
      <c r="B301" s="4"/>
      <c r="C301" s="4">
        <v>0</v>
      </c>
      <c r="D301" s="4">
        <f t="shared" si="1"/>
        <v>15.2</v>
      </c>
      <c r="E301" s="4"/>
      <c r="F301" s="4"/>
      <c r="G301" s="4"/>
      <c r="H301" s="4"/>
    </row>
    <row r="302" ht="22.5" customHeight="1" spans="1:8">
      <c r="A302" s="3">
        <v>46061</v>
      </c>
      <c r="B302" s="4">
        <v>0.05</v>
      </c>
      <c r="C302" s="4">
        <v>0</v>
      </c>
      <c r="D302" s="4">
        <f t="shared" si="1"/>
        <v>15.25</v>
      </c>
      <c r="E302" s="4"/>
      <c r="F302" s="4"/>
      <c r="G302" s="4"/>
      <c r="H302" s="4"/>
    </row>
    <row r="303" ht="22.5" customHeight="1" spans="1:8">
      <c r="A303" s="3">
        <v>46062</v>
      </c>
      <c r="B303" s="4"/>
      <c r="C303" s="4">
        <v>0</v>
      </c>
      <c r="D303" s="4">
        <f t="shared" si="1"/>
        <v>15.25</v>
      </c>
      <c r="E303" s="4"/>
      <c r="F303" s="4"/>
      <c r="G303" s="4"/>
      <c r="H303" s="4"/>
    </row>
    <row r="304" ht="22.5" customHeight="1" spans="1:8">
      <c r="A304" s="3">
        <v>46063</v>
      </c>
      <c r="B304" s="4"/>
      <c r="C304" s="4">
        <v>0</v>
      </c>
      <c r="D304" s="4">
        <f t="shared" si="1"/>
        <v>15.25</v>
      </c>
      <c r="E304" s="4"/>
      <c r="F304" s="4"/>
      <c r="G304" s="4"/>
      <c r="H304" s="4"/>
    </row>
    <row r="305" ht="22.5" customHeight="1" spans="1:8">
      <c r="A305" s="3">
        <v>46064</v>
      </c>
      <c r="B305" s="4"/>
      <c r="C305" s="4">
        <v>0</v>
      </c>
      <c r="D305" s="4">
        <f t="shared" si="1"/>
        <v>15.25</v>
      </c>
      <c r="E305" s="4"/>
      <c r="F305" s="4"/>
      <c r="G305" s="4"/>
      <c r="H305" s="4"/>
    </row>
    <row r="306" ht="22.5" customHeight="1" spans="1:8">
      <c r="A306" s="3">
        <v>46065</v>
      </c>
      <c r="B306" s="4"/>
      <c r="C306" s="4">
        <v>0</v>
      </c>
      <c r="D306" s="4">
        <f t="shared" si="1"/>
        <v>15.25</v>
      </c>
      <c r="E306" s="4"/>
      <c r="F306" s="4"/>
      <c r="G306" s="4"/>
      <c r="H306" s="4"/>
    </row>
    <row r="307" ht="22.5" customHeight="1" spans="1:8">
      <c r="A307" s="3">
        <v>46066</v>
      </c>
      <c r="B307" s="4"/>
      <c r="C307" s="4">
        <v>0</v>
      </c>
      <c r="D307" s="4">
        <f t="shared" si="1"/>
        <v>15.25</v>
      </c>
      <c r="E307" s="4"/>
      <c r="F307" s="4"/>
      <c r="G307" s="4"/>
      <c r="H307" s="4"/>
    </row>
    <row r="308" ht="22.5" customHeight="1" spans="1:8">
      <c r="A308" s="3">
        <v>46067</v>
      </c>
      <c r="B308" s="4"/>
      <c r="C308" s="4">
        <v>0</v>
      </c>
      <c r="D308" s="4">
        <f t="shared" si="1"/>
        <v>15.25</v>
      </c>
      <c r="E308" s="4"/>
      <c r="F308" s="4"/>
      <c r="G308" s="4"/>
      <c r="H308" s="4"/>
    </row>
    <row r="309" ht="22.5" customHeight="1" spans="1:8">
      <c r="A309" s="3">
        <v>46068</v>
      </c>
      <c r="B309" s="4"/>
      <c r="C309" s="4">
        <v>0</v>
      </c>
      <c r="D309" s="4">
        <f t="shared" si="1"/>
        <v>15.25</v>
      </c>
      <c r="E309" s="4"/>
      <c r="F309" s="4"/>
      <c r="G309" s="4"/>
      <c r="H309" s="4"/>
    </row>
    <row r="310" ht="22.5" customHeight="1" spans="1:8">
      <c r="A310" s="3">
        <v>46069</v>
      </c>
      <c r="B310" s="4"/>
      <c r="C310" s="4">
        <v>0</v>
      </c>
      <c r="D310" s="4">
        <f t="shared" si="1"/>
        <v>15.25</v>
      </c>
      <c r="E310" s="4"/>
      <c r="F310" s="4"/>
      <c r="G310" s="4"/>
      <c r="H310" s="4"/>
    </row>
    <row r="311" ht="22.5" customHeight="1" spans="1:8">
      <c r="A311" s="3">
        <v>46070</v>
      </c>
      <c r="B311" s="4"/>
      <c r="C311" s="4"/>
      <c r="D311" s="4">
        <f t="shared" si="1"/>
        <v>15.25</v>
      </c>
      <c r="E311" s="4"/>
      <c r="F311" s="4"/>
      <c r="G311" s="4"/>
      <c r="H311" s="4"/>
    </row>
    <row r="312" ht="22.5" customHeight="1" spans="1:8">
      <c r="A312" s="3">
        <v>46071</v>
      </c>
      <c r="B312" s="4"/>
      <c r="C312" s="4"/>
      <c r="D312" s="4">
        <f t="shared" si="1"/>
        <v>15.25</v>
      </c>
      <c r="E312" s="4"/>
      <c r="F312" s="4"/>
      <c r="G312" s="4"/>
      <c r="H312" s="4"/>
    </row>
    <row r="313" ht="22.5" customHeight="1" spans="1:8">
      <c r="A313" s="3">
        <v>46072</v>
      </c>
      <c r="B313" s="4"/>
      <c r="C313" s="4"/>
      <c r="D313" s="4">
        <f t="shared" si="1"/>
        <v>15.25</v>
      </c>
      <c r="E313" s="4"/>
      <c r="F313" s="4"/>
      <c r="G313" s="4"/>
      <c r="H313" s="4"/>
    </row>
    <row r="314" ht="22.5" customHeight="1" spans="1:8">
      <c r="A314" s="3">
        <v>46073</v>
      </c>
      <c r="B314" s="4"/>
      <c r="C314" s="4"/>
      <c r="D314" s="4">
        <f t="shared" si="1"/>
        <v>15.25</v>
      </c>
      <c r="E314" s="4"/>
      <c r="F314" s="4"/>
      <c r="G314" s="4"/>
      <c r="H314" s="4"/>
    </row>
    <row r="315" ht="22.5" customHeight="1" spans="1:8">
      <c r="A315" s="3">
        <v>46074</v>
      </c>
      <c r="B315" s="4"/>
      <c r="C315" s="4"/>
      <c r="D315" s="4">
        <f t="shared" si="1"/>
        <v>15.25</v>
      </c>
      <c r="E315" s="4"/>
      <c r="F315" s="4"/>
      <c r="G315" s="4"/>
      <c r="H315" s="4"/>
    </row>
    <row r="316" ht="22.5" customHeight="1" spans="1:8">
      <c r="A316" s="3">
        <v>46075</v>
      </c>
      <c r="B316" s="4"/>
      <c r="C316" s="4"/>
      <c r="D316" s="4">
        <f t="shared" si="1"/>
        <v>15.25</v>
      </c>
      <c r="E316" s="4"/>
      <c r="F316" s="4"/>
      <c r="G316" s="4"/>
      <c r="H316" s="4"/>
    </row>
    <row r="317" ht="22.5" customHeight="1" spans="1:8">
      <c r="A317" s="3">
        <v>46076</v>
      </c>
      <c r="B317" s="4">
        <v>0.1</v>
      </c>
      <c r="C317" s="4"/>
      <c r="D317" s="4">
        <f t="shared" si="1"/>
        <v>15.35</v>
      </c>
      <c r="E317" s="4"/>
      <c r="F317" s="4"/>
      <c r="G317" s="4"/>
      <c r="H317" s="4"/>
    </row>
    <row r="318" ht="22.5" customHeight="1" spans="1:8">
      <c r="A318" s="3">
        <v>46077</v>
      </c>
      <c r="B318" s="4"/>
      <c r="C318" s="4"/>
      <c r="D318" s="4">
        <f t="shared" si="1"/>
        <v>15.35</v>
      </c>
      <c r="E318" s="4"/>
      <c r="F318" s="4"/>
      <c r="G318" s="4"/>
      <c r="H318" s="4"/>
    </row>
    <row r="319" ht="22.5" customHeight="1" spans="1:8">
      <c r="A319" s="3">
        <v>46078</v>
      </c>
      <c r="B319" s="4"/>
      <c r="C319" s="4"/>
      <c r="D319" s="4">
        <f t="shared" si="1"/>
        <v>15.35</v>
      </c>
      <c r="E319" s="4"/>
      <c r="F319" s="4"/>
      <c r="G319" s="4"/>
      <c r="H319" s="4"/>
    </row>
    <row r="320" ht="22.5" customHeight="1" spans="1:8">
      <c r="A320" s="3">
        <v>46079</v>
      </c>
      <c r="B320" s="4"/>
      <c r="C320" s="4"/>
      <c r="D320" s="4">
        <f t="shared" si="1"/>
        <v>15.35</v>
      </c>
      <c r="E320" s="4"/>
      <c r="F320" s="4"/>
      <c r="G320" s="4"/>
      <c r="H320" s="4"/>
    </row>
  </sheetData>
  <dataValidations count="1">
    <dataValidation type="custom" allowBlank="1" sqref="D2:D320">
      <formula1>AND(ISNUMBER(D2),(NOT(OR(NOT(ISERROR(DATEVALUE(D2))),AND(ISNUMBER(D2),LEFT(CELL("format",D2))="D")))))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14" sqref="D14"/>
    </sheetView>
  </sheetViews>
  <sheetFormatPr defaultColWidth="12" defaultRowHeight="15.75" customHeight="1" outlineLevelRow="2" outlineLevelCol="5"/>
  <cols>
    <col min="1" max="1" width="14.3982300884956" customWidth="1"/>
  </cols>
  <sheetData>
    <row r="1" customHeight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</v>
      </c>
    </row>
    <row r="2" customHeight="1" spans="1:6">
      <c r="A2" s="1">
        <f>Sheet1!E2*0.15</f>
        <v>2.3025</v>
      </c>
      <c r="B2" s="1">
        <f>A2-C2</f>
        <v>2.3025</v>
      </c>
      <c r="C2" s="1"/>
      <c r="F2" s="1">
        <f>D2+E2</f>
        <v>0</v>
      </c>
    </row>
    <row r="3" customHeight="1" spans="1:6">
      <c r="A3" s="1">
        <f>0.05*Sheet1!E2</f>
        <v>0.7675</v>
      </c>
      <c r="B3" s="1">
        <f>B2+A3</f>
        <v>3.07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$1:A$1048576"/>
    </sheetView>
  </sheetViews>
  <sheetFormatPr defaultColWidth="12" defaultRowHeight="15.75" customHeight="1" outlineLevelRow="2" outlineLevelCol="5"/>
  <cols>
    <col min="5" max="5" width="14" customWidth="1"/>
    <col min="6" max="6" width="20.1327433628319" customWidth="1"/>
  </cols>
  <sheetData>
    <row r="1" customHeight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customHeight="1" spans="1:6">
      <c r="A2" s="1" t="s">
        <v>19</v>
      </c>
      <c r="B2" s="1">
        <v>6</v>
      </c>
      <c r="C2" s="1">
        <v>1</v>
      </c>
      <c r="D2" s="1">
        <f>B2*C2</f>
        <v>6</v>
      </c>
      <c r="E2" s="1">
        <f>IF(D2-Sheet1!E2&lt;0,0,D2-Sheet1!E2)</f>
        <v>0</v>
      </c>
      <c r="F2" t="str">
        <f>IF(E2&lt;0,"Argent suffisant","argent insuffisant")</f>
        <v>argent insuffisant</v>
      </c>
    </row>
    <row r="3" customHeight="1" spans="1:6">
      <c r="E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☆明日香☆</dc:creator>
  <cp:lastModifiedBy>asuka</cp:lastModifiedBy>
  <dcterms:created xsi:type="dcterms:W3CDTF">2026-02-04T14:45:00Z</dcterms:created>
  <dcterms:modified xsi:type="dcterms:W3CDTF">2026-03-09T17:53:11Z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91D57E9B7A7F488CBCB817EB14534DB6_12</vt:lpwstr>
  </property>
  <property fmtid="{D5CDD505-2E9C-101B-9397-08002B2CF9AE}" pid="3" name="KSOProductBuildVer">
    <vt:lpwstr>1041-12.1.0.25242</vt:lpwstr>
  </property>
  <property fmtid="{D5CDD505-2E9C-101B-9397-08002B2CF9AE}" pid="4" name="CalculationRule">
    <vt:i4>0</vt:i4>
  </property>
</Properties>
</file>